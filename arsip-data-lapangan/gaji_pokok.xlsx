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GJ.POKOK LENGK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<sst xmlns="http://schemas.openxmlformats.org/spreadsheetml/2006/main" count="54" uniqueCount="43">
  <si>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GAJI GURU/PEGAWAI  SMK PSKD III</t>
  </si>
  <si>
    <t>BULAN : JUNI 2026</t>
  </si>
  <si>
    <t>NO.</t>
  </si>
  <si>
    <t>NAMA DAN
TANGGAL LAHIR</t>
  </si>
  <si>
    <t>TK/K/D/J</t>
  </si>
  <si>
    <t>PANGKAT
GOL/RUANG</t>
  </si>
  <si>
    <t>JLH
JIWA</t>
  </si>
  <si>
    <t>GJ. POKOK
(Rp)</t>
  </si>
  <si>
    <t>TUNJ.KEL
Istri+Anak</t>
  </si>
  <si>
    <t>TUNJANGAN
KESRA</t>
  </si>
  <si>
    <t>TUNJJABT
Struktural/
Fungsional</t>
  </si>
  <si>
    <t>TUNJJAB.
25% PP1985</t>
  </si>
  <si>
    <t>SB.DANA CHUK
2% PP'85</t>
  </si>
  <si>
    <t>SB.DANA CHUK
8% PP'85</t>
  </si>
  <si>
    <t>TUNJANGAN
PERBAIKAN
PENGHASILAN</t>
  </si>
  <si>
    <t>PEMBULATAN</t>
  </si>
  <si>
    <t>JLH BRUTO
(Rp)</t>
  </si>
  <si>
    <t>ANG.
PINJAM</t>
  </si>
  <si>
    <t>SIM DANA
WAJIB</t>
  </si>
  <si>
    <t>S.PSKD
DANA CHUK</t>
  </si>
  <si>
    <t>PREMI
PELKES</t>
  </si>
  <si>
    <t>JUMLAH
POTONGAN (Rp)</t>
  </si>
  <si>
    <t>Drs. Ahmad Fauzi, M.Pd
01-03-1970</t>
  </si>
  <si>
    <t>K</t>
  </si>
  <si>
    <t>III/d</t>
  </si>
  <si>
    <t>Siti Rahayu, S.Pd
15-07-1975</t>
  </si>
  <si>
    <t>III/c</t>
  </si>
  <si>
    <t>Budi Santoso, S.Pd
20-05-1978</t>
  </si>
  <si>
    <t>III/b</t>
  </si>
  <si>
    <t>Dewi Lestari, S.Pd
08-11-1980</t>
  </si>
  <si>
    <t>TK</t>
  </si>
  <si>
    <t>Eko Prasetyo, S.Kom
25-02-1985</t>
  </si>
  <si>
    <t>III/a</t>
  </si>
  <si>
    <t>Fitri Handayani, S.Pd
12-09-1983</t>
  </si>
  <si>
    <t>Gunawan, S.Pd
30-04-1987</t>
  </si>
  <si>
    <t>II/d</t>
  </si>
  <si>
    <t>Hani Pertiwi, S.E
17-06-1990</t>
  </si>
  <si>
    <t>II/c</t>
  </si>
  <si>
    <t>Irwan Setiawan, S.Pd
22-08-1988</t>
  </si>
  <si>
    <t>Juwita Sari, A.Md
05-12-1995</t>
  </si>
  <si>
    <t>II/a</t>
  </si>
  <si>
    <t>TOTAL</t>
  </si>
  <si>
    <t>Catatan: JLH BRUTO = SUM(GJ.POKOK s/d PEMBULATAN) | JUMLAH POTONGAN = SUM(ANG.PINJAM s/d PREMI PELKES)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</si>
</sst>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8"/>
      <color rgb="FF59595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EEAF1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workbookViewId="0">
      <selection activeCell="A1" sqref="A1:T1"/>
    </sheetView>
  </sheetViews>
  <sheetFormatPr defaultColWidth="8.67592592592593" defaultRowHeight="14.4"/>
  <cols>
    <col min="1" max="1" width="5" style="1" customWidth="1"/>
    <col min="2" max="2" width="26" style="1" customWidth="1"/>
    <col min="3" max="3" width="7" style="1" customWidth="1"/>
    <col min="4" max="4" width="12" style="1" customWidth="1"/>
    <col min="5" max="5" width="6" style="1" customWidth="1"/>
    <col min="6" max="6" width="14" style="1" customWidth="1"/>
    <col min="7" max="7" width="13" style="1" customWidth="1"/>
    <col min="8" max="8" width="12" style="1" customWidth="1"/>
    <col min="9" max="9" width="14" style="1" customWidth="1"/>
    <col min="10" max="10" width="13" style="1" customWidth="1"/>
    <col min="11" max="13" width="14" style="1" customWidth="1"/>
    <col min="14" max="14" width="12" style="1" customWidth="1"/>
    <col min="15" max="15" width="14" style="1" customWidth="1"/>
    <col min="16" max="16" width="10" style="1" customWidth="1"/>
    <col min="17" max="19" width="12" style="1" customWidth="1"/>
    <col min="20" max="21" width="16" style="1" customWidth="1"/>
  </cols>
  <sheetData>
    <row r="1" ht="27.75" customHeight="1" spans="1:2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1.75" customHeight="1" spans="1:2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48" customHeight="1" spans="1:2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</row>
    <row r="4" ht="15.75" customHeight="1" spans="1:20">
      <c r="A4" s="5">
        <v>1</v>
      </c>
      <c r="B4" s="6" t="s">
        <v>22</v>
      </c>
      <c r="C4" s="5" t="s">
        <v>23</v>
      </c>
      <c r="D4" s="6" t="s">
        <v>24</v>
      </c>
      <c r="E4" s="5">
        <v>3</v>
      </c>
      <c r="F4" s="7">
        <v>4200000</v>
      </c>
      <c r="G4" s="7">
        <v>420000</v>
      </c>
      <c r="H4" s="7">
        <v>500000</v>
      </c>
      <c r="I4" s="7">
        <v>1000000</v>
      </c>
      <c r="J4" s="7">
        <v>1050000</v>
      </c>
      <c r="K4" s="7">
        <v>0</v>
      </c>
      <c r="L4" s="7">
        <v>0</v>
      </c>
      <c r="M4" s="7">
        <v>800000</v>
      </c>
      <c r="N4" s="7">
        <v>0</v>
      </c>
      <c r="O4" s="7">
        <f t="shared" ref="O4:O13" si="0">SUM(F4:N4)</f>
        <v>7970000</v>
      </c>
      <c r="P4" s="7">
        <v>0</v>
      </c>
      <c r="Q4" s="7">
        <v>84000</v>
      </c>
      <c r="R4" s="7">
        <v>150000</v>
      </c>
      <c r="S4" s="7">
        <v>100000</v>
      </c>
      <c r="T4" s="7">
        <f t="shared" ref="T4:T13" si="1">SUM(P4:S4)</f>
        <v>334000</v>
      </c>
    </row>
    <row r="5" ht="15.75" customHeight="1" spans="1:20">
      <c r="A5" s="8">
        <v>2</v>
      </c>
      <c r="B5" s="9" t="s">
        <v>25</v>
      </c>
      <c r="C5" s="8" t="s">
        <v>23</v>
      </c>
      <c r="D5" s="9" t="s">
        <v>26</v>
      </c>
      <c r="E5" s="8">
        <v>2</v>
      </c>
      <c r="F5" s="10">
        <v>3800000</v>
      </c>
      <c r="G5" s="10">
        <v>380000</v>
      </c>
      <c r="H5" s="10">
        <v>400000</v>
      </c>
      <c r="I5" s="10">
        <v>750000</v>
      </c>
      <c r="J5" s="10">
        <v>950000</v>
      </c>
      <c r="K5" s="10">
        <v>0</v>
      </c>
      <c r="L5" s="10">
        <v>0</v>
      </c>
      <c r="M5" s="10">
        <v>700000</v>
      </c>
      <c r="N5" s="10">
        <v>0</v>
      </c>
      <c r="O5" s="10">
        <f t="shared" si="0"/>
        <v>6980000</v>
      </c>
      <c r="P5" s="10">
        <v>0</v>
      </c>
      <c r="Q5" s="10">
        <v>76000</v>
      </c>
      <c r="R5" s="10">
        <v>150000</v>
      </c>
      <c r="S5" s="10">
        <v>100000</v>
      </c>
      <c r="T5" s="10">
        <f t="shared" si="1"/>
        <v>326000</v>
      </c>
    </row>
    <row r="6" ht="15.75" customHeight="1" spans="1:20">
      <c r="A6" s="5">
        <v>3</v>
      </c>
      <c r="B6" s="6" t="s">
        <v>27</v>
      </c>
      <c r="C6" s="5" t="s">
        <v>23</v>
      </c>
      <c r="D6" s="6" t="s">
        <v>28</v>
      </c>
      <c r="E6" s="5">
        <v>2</v>
      </c>
      <c r="F6" s="7">
        <v>3400000</v>
      </c>
      <c r="G6" s="7">
        <v>340000</v>
      </c>
      <c r="H6" s="7">
        <v>350000</v>
      </c>
      <c r="I6" s="7">
        <v>0</v>
      </c>
      <c r="J6" s="7">
        <v>850000</v>
      </c>
      <c r="K6" s="7">
        <v>0</v>
      </c>
      <c r="L6" s="7">
        <v>0</v>
      </c>
      <c r="M6" s="7">
        <v>600000</v>
      </c>
      <c r="N6" s="7">
        <v>0</v>
      </c>
      <c r="O6" s="7">
        <f t="shared" si="0"/>
        <v>5540000</v>
      </c>
      <c r="P6" s="7">
        <v>0</v>
      </c>
      <c r="Q6" s="7">
        <v>68000</v>
      </c>
      <c r="R6" s="7">
        <v>150000</v>
      </c>
      <c r="S6" s="7">
        <v>100000</v>
      </c>
      <c r="T6" s="7">
        <f t="shared" si="1"/>
        <v>318000</v>
      </c>
    </row>
    <row r="7" ht="15.75" customHeight="1" spans="1:20">
      <c r="A7" s="8">
        <v>4</v>
      </c>
      <c r="B7" s="9" t="s">
        <v>29</v>
      </c>
      <c r="C7" s="8" t="s">
        <v>30</v>
      </c>
      <c r="D7" s="9" t="s">
        <v>28</v>
      </c>
      <c r="E7" s="8">
        <v>1</v>
      </c>
      <c r="F7" s="10">
        <v>3400000</v>
      </c>
      <c r="G7" s="10">
        <v>0</v>
      </c>
      <c r="H7" s="10">
        <v>350000</v>
      </c>
      <c r="I7" s="10">
        <v>0</v>
      </c>
      <c r="J7" s="10">
        <v>850000</v>
      </c>
      <c r="K7" s="10">
        <v>0</v>
      </c>
      <c r="L7" s="10">
        <v>0</v>
      </c>
      <c r="M7" s="10">
        <v>600000</v>
      </c>
      <c r="N7" s="10">
        <v>0</v>
      </c>
      <c r="O7" s="10">
        <f t="shared" si="0"/>
        <v>5200000</v>
      </c>
      <c r="P7" s="10">
        <v>0</v>
      </c>
      <c r="Q7" s="10">
        <v>68000</v>
      </c>
      <c r="R7" s="10">
        <v>150000</v>
      </c>
      <c r="S7" s="10">
        <v>100000</v>
      </c>
      <c r="T7" s="10">
        <f t="shared" si="1"/>
        <v>318000</v>
      </c>
    </row>
    <row r="8" ht="15.75" customHeight="1" spans="1:20">
      <c r="A8" s="5">
        <v>5</v>
      </c>
      <c r="B8" s="6" t="s">
        <v>31</v>
      </c>
      <c r="C8" s="5" t="s">
        <v>30</v>
      </c>
      <c r="D8" s="6" t="s">
        <v>32</v>
      </c>
      <c r="E8" s="5">
        <v>1</v>
      </c>
      <c r="F8" s="7">
        <v>3100000</v>
      </c>
      <c r="G8" s="7">
        <v>0</v>
      </c>
      <c r="H8" s="7">
        <v>300000</v>
      </c>
      <c r="I8" s="7">
        <v>0</v>
      </c>
      <c r="J8" s="7">
        <v>775000</v>
      </c>
      <c r="K8" s="7">
        <v>0</v>
      </c>
      <c r="L8" s="7">
        <v>0</v>
      </c>
      <c r="M8" s="7">
        <v>550000</v>
      </c>
      <c r="N8" s="7">
        <v>0</v>
      </c>
      <c r="O8" s="7">
        <f t="shared" si="0"/>
        <v>4725000</v>
      </c>
      <c r="P8" s="7">
        <v>0</v>
      </c>
      <c r="Q8" s="7">
        <v>62000</v>
      </c>
      <c r="R8" s="7">
        <v>150000</v>
      </c>
      <c r="S8" s="7">
        <v>100000</v>
      </c>
      <c r="T8" s="7">
        <f t="shared" si="1"/>
        <v>312000</v>
      </c>
    </row>
    <row r="9" ht="15.75" customHeight="1" spans="1:20">
      <c r="A9" s="8">
        <v>6</v>
      </c>
      <c r="B9" s="9" t="s">
        <v>33</v>
      </c>
      <c r="C9" s="8" t="s">
        <v>23</v>
      </c>
      <c r="D9" s="9" t="s">
        <v>32</v>
      </c>
      <c r="E9" s="8">
        <v>2</v>
      </c>
      <c r="F9" s="10">
        <v>3100000</v>
      </c>
      <c r="G9" s="10">
        <v>310000</v>
      </c>
      <c r="H9" s="10">
        <v>300000</v>
      </c>
      <c r="I9" s="10">
        <v>0</v>
      </c>
      <c r="J9" s="10">
        <v>775000</v>
      </c>
      <c r="K9" s="10">
        <v>0</v>
      </c>
      <c r="L9" s="10">
        <v>0</v>
      </c>
      <c r="M9" s="10">
        <v>550000</v>
      </c>
      <c r="N9" s="10">
        <v>0</v>
      </c>
      <c r="O9" s="10">
        <f t="shared" si="0"/>
        <v>5035000</v>
      </c>
      <c r="P9" s="10">
        <v>0</v>
      </c>
      <c r="Q9" s="10">
        <v>62000</v>
      </c>
      <c r="R9" s="10">
        <v>150000</v>
      </c>
      <c r="S9" s="10">
        <v>100000</v>
      </c>
      <c r="T9" s="10">
        <f t="shared" si="1"/>
        <v>312000</v>
      </c>
    </row>
    <row r="10" ht="15.75" customHeight="1" spans="1:20">
      <c r="A10" s="5">
        <v>7</v>
      </c>
      <c r="B10" s="6" t="s">
        <v>34</v>
      </c>
      <c r="C10" s="5" t="s">
        <v>30</v>
      </c>
      <c r="D10" s="6" t="s">
        <v>35</v>
      </c>
      <c r="E10" s="5">
        <v>1</v>
      </c>
      <c r="F10" s="7">
        <v>2700000</v>
      </c>
      <c r="G10" s="7">
        <v>0</v>
      </c>
      <c r="H10" s="7">
        <v>250000</v>
      </c>
      <c r="I10" s="7">
        <v>0</v>
      </c>
      <c r="J10" s="7">
        <v>0</v>
      </c>
      <c r="K10" s="7">
        <v>0</v>
      </c>
      <c r="L10" s="7">
        <v>0</v>
      </c>
      <c r="M10" s="7">
        <v>450000</v>
      </c>
      <c r="N10" s="7">
        <v>0</v>
      </c>
      <c r="O10" s="7">
        <f t="shared" si="0"/>
        <v>3400000</v>
      </c>
      <c r="P10" s="7">
        <v>0</v>
      </c>
      <c r="Q10" s="7">
        <v>54000</v>
      </c>
      <c r="R10" s="7">
        <v>150000</v>
      </c>
      <c r="S10" s="7">
        <v>100000</v>
      </c>
      <c r="T10" s="7">
        <f t="shared" si="1"/>
        <v>304000</v>
      </c>
    </row>
    <row r="11" ht="15.75" customHeight="1" spans="1:20">
      <c r="A11" s="8">
        <v>8</v>
      </c>
      <c r="B11" s="9" t="s">
        <v>36</v>
      </c>
      <c r="C11" s="8" t="s">
        <v>30</v>
      </c>
      <c r="D11" s="9" t="s">
        <v>37</v>
      </c>
      <c r="E11" s="8">
        <v>1</v>
      </c>
      <c r="F11" s="10">
        <v>2500000</v>
      </c>
      <c r="G11" s="10">
        <v>0</v>
      </c>
      <c r="H11" s="10">
        <v>200000</v>
      </c>
      <c r="I11" s="10">
        <v>0</v>
      </c>
      <c r="J11" s="10">
        <v>0</v>
      </c>
      <c r="K11" s="10">
        <v>0</v>
      </c>
      <c r="L11" s="10">
        <v>0</v>
      </c>
      <c r="M11" s="10">
        <v>400000</v>
      </c>
      <c r="N11" s="10">
        <v>0</v>
      </c>
      <c r="O11" s="10">
        <f t="shared" si="0"/>
        <v>3100000</v>
      </c>
      <c r="P11" s="10">
        <v>0</v>
      </c>
      <c r="Q11" s="10">
        <v>50000</v>
      </c>
      <c r="R11" s="10">
        <v>150000</v>
      </c>
      <c r="S11" s="10">
        <v>100000</v>
      </c>
      <c r="T11" s="10">
        <f t="shared" si="1"/>
        <v>300000</v>
      </c>
    </row>
    <row r="12" ht="15.75" customHeight="1" spans="1:20">
      <c r="A12" s="5">
        <v>9</v>
      </c>
      <c r="B12" s="6" t="s">
        <v>38</v>
      </c>
      <c r="C12" s="5" t="s">
        <v>30</v>
      </c>
      <c r="D12" s="6" t="s">
        <v>37</v>
      </c>
      <c r="E12" s="5">
        <v>1</v>
      </c>
      <c r="F12" s="7">
        <v>2500000</v>
      </c>
      <c r="G12" s="7">
        <v>0</v>
      </c>
      <c r="H12" s="7">
        <v>200000</v>
      </c>
      <c r="I12" s="7">
        <v>0</v>
      </c>
      <c r="J12" s="7">
        <v>0</v>
      </c>
      <c r="K12" s="7">
        <v>0</v>
      </c>
      <c r="L12" s="7">
        <v>0</v>
      </c>
      <c r="M12" s="7">
        <v>400000</v>
      </c>
      <c r="N12" s="7">
        <v>0</v>
      </c>
      <c r="O12" s="7">
        <f t="shared" si="0"/>
        <v>3100000</v>
      </c>
      <c r="P12" s="7">
        <v>0</v>
      </c>
      <c r="Q12" s="7">
        <v>50000</v>
      </c>
      <c r="R12" s="7">
        <v>150000</v>
      </c>
      <c r="S12" s="7">
        <v>100000</v>
      </c>
      <c r="T12" s="7">
        <f t="shared" si="1"/>
        <v>300000</v>
      </c>
    </row>
    <row r="13" ht="15.75" customHeight="1" spans="1:20">
      <c r="A13" s="8">
        <v>10</v>
      </c>
      <c r="B13" s="9" t="s">
        <v>39</v>
      </c>
      <c r="C13" s="8" t="s">
        <v>30</v>
      </c>
      <c r="D13" s="9" t="s">
        <v>40</v>
      </c>
      <c r="E13" s="8">
        <v>1</v>
      </c>
      <c r="F13" s="10">
        <v>2100000</v>
      </c>
      <c r="G13" s="10">
        <v>0</v>
      </c>
      <c r="H13" s="10">
        <v>150000</v>
      </c>
      <c r="I13" s="10">
        <v>0</v>
      </c>
      <c r="J13" s="10">
        <v>0</v>
      </c>
      <c r="K13" s="10">
        <v>0</v>
      </c>
      <c r="L13" s="10">
        <v>0</v>
      </c>
      <c r="M13" s="10">
        <v>300000</v>
      </c>
      <c r="N13" s="10">
        <v>0</v>
      </c>
      <c r="O13" s="10">
        <f t="shared" si="0"/>
        <v>2550000</v>
      </c>
      <c r="P13" s="10">
        <v>0</v>
      </c>
      <c r="Q13" s="10">
        <v>42000</v>
      </c>
      <c r="R13" s="10">
        <v>150000</v>
      </c>
      <c r="S13" s="10">
        <v>100000</v>
      </c>
      <c r="T13" s="10">
        <f t="shared" si="1"/>
        <v>292000</v>
      </c>
    </row>
    <row r="14" ht="19.5" customHeight="1" spans="1:20">
      <c r="A14" s="4" t="s">
        <v>41</v>
      </c>
      <c r="B14" s="4"/>
      <c r="C14" s="4"/>
      <c r="D14" s="4"/>
      <c r="E14" s="4"/>
      <c r="F14" s="11">
        <f t="shared" ref="F14:T14" si="2">SUM(F4:F13)</f>
        <v>30800000</v>
      </c>
      <c r="G14" s="11">
        <f t="shared" si="2"/>
        <v>1450000</v>
      </c>
      <c r="H14" s="11">
        <f t="shared" si="2"/>
        <v>3000000</v>
      </c>
      <c r="I14" s="11">
        <f t="shared" si="2"/>
        <v>1750000</v>
      </c>
      <c r="J14" s="11">
        <f t="shared" si="2"/>
        <v>5250000</v>
      </c>
      <c r="K14" s="11">
        <f t="shared" si="2"/>
        <v>0</v>
      </c>
      <c r="L14" s="11">
        <f t="shared" si="2"/>
        <v>0</v>
      </c>
      <c r="M14" s="11">
        <f t="shared" si="2"/>
        <v>5350000</v>
      </c>
      <c r="N14" s="11">
        <f t="shared" si="2"/>
        <v>0</v>
      </c>
      <c r="O14" s="11">
        <f t="shared" si="2"/>
        <v>47600000</v>
      </c>
      <c r="P14" s="11">
        <f t="shared" si="2"/>
        <v>0</v>
      </c>
      <c r="Q14" s="11">
        <f t="shared" si="2"/>
        <v>616000</v>
      </c>
      <c r="R14" s="11">
        <f t="shared" si="2"/>
        <v>1500000</v>
      </c>
      <c r="S14" s="11">
        <f t="shared" si="2"/>
        <v>1000000</v>
      </c>
      <c r="T14" s="11">
        <f t="shared" si="2"/>
        <v>3116000</v>
      </c>
    </row>
    <row r="16" ht="15" customHeight="1" spans="1:20">
      <c r="A16" s="12" t="s">
        <v>42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</sheetData>
  <mergeCells count="4">
    <mergeCell ref="A1:T1"/>
    <mergeCell ref="A2:T2"/>
    <mergeCell ref="A14:E14"/>
    <mergeCell ref="A16:T16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GJ.POKOK LENGKAP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Wahyu</cp:lastModifiedBy>
  <cp:revision>0</cp:revision>
  <dcterms:created xsi:type="dcterms:W3CDTF">2026-06-24T13:13:00Z</dcterms:created>
  <dcterms:modified xsi:type="dcterms:W3CDTF">2026-07-05T13:49:18Z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C9FB7D62F8E64CF288B2FBF8DDAE0263_12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