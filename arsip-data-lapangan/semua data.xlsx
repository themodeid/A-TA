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AP" sheetId="1" state="visible" r:id="rId3"/>
    <sheet name="Tunjangan" sheetId="2" state="visible" r:id="rId4"/>
    <sheet name="jam" sheetId="3" state="visible" r:id="rId5"/>
    <sheet name="GJ.POKOK" sheetId="4" state="visible" r:id="rId6"/>
    <sheet name="DAFTAR PERMINTAAN PEMBAYAR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<sst xmlns="http://schemas.openxmlformats.org/spreadsheetml/2006/main" count="236" uniqueCount="147">
  <si>
    <t xml:space="preserve">REKAPITULASI GAJI</t>
  </si>
  <si>
    <t xml:space="preserve">SMK PSKD III</t>
  </si>
  <si>
    <t xml:space="preserve">Bulan : JUNI 2026</t>
  </si>
  <si>
    <t xml:space="preserve">NO</t>
  </si>
  <si>
    <t xml:space="preserve">NAMA GURU/PEGAWAI</t>
  </si>
  <si>
    <t xml:space="preserve">Jabatan</t>
  </si>
  <si>
    <t xml:space="preserve">HR. HDR</t>
  </si>
  <si>
    <t xml:space="preserve">GAJI KOPETENSI</t>
  </si>
  <si>
    <t xml:space="preserve">TUNJANGAN JABATAN DLL</t>
  </si>
  <si>
    <t xml:space="preserve">TRANSPORT/U. MAKAN 30000</t>
  </si>
  <si>
    <t xml:space="preserve">TOTAL PENGHASILAN</t>
  </si>
  <si>
    <t xml:space="preserve">JUMLAH POTONGAN</t>
  </si>
  <si>
    <t xml:space="preserve">TOTAL PENERIMAAN</t>
  </si>
  <si>
    <t xml:space="preserve">TANDA TANGAN</t>
  </si>
  <si>
    <t xml:space="preserve">Drs. Ahmad Fauzi, M.Pd</t>
  </si>
  <si>
    <t xml:space="preserve">Kepala Sekolah</t>
  </si>
  <si>
    <t xml:space="preserve">Siti Rahayu, S.Pd</t>
  </si>
  <si>
    <t xml:space="preserve">Wakil Kepala Sekolah</t>
  </si>
  <si>
    <t xml:space="preserve">Budi Santoso, S.Pd</t>
  </si>
  <si>
    <t xml:space="preserve">Guru Matematika</t>
  </si>
  <si>
    <t xml:space="preserve">Dewi Lestari, S.Pd</t>
  </si>
  <si>
    <t xml:space="preserve">Guru Bahasa Indonesia</t>
  </si>
  <si>
    <t xml:space="preserve">Eko Prasetyo, S.Kom</t>
  </si>
  <si>
    <t xml:space="preserve">Guru TIK</t>
  </si>
  <si>
    <t xml:space="preserve">Fitri Handayani, S.Pd</t>
  </si>
  <si>
    <t xml:space="preserve">Wali Kelas X-A</t>
  </si>
  <si>
    <t xml:space="preserve">Gunawan, S.Pd</t>
  </si>
  <si>
    <t xml:space="preserve">Guru IPA</t>
  </si>
  <si>
    <t xml:space="preserve">Hani Pertiwi, S.E</t>
  </si>
  <si>
    <t xml:space="preserve">Staf Keuangan</t>
  </si>
  <si>
    <t xml:space="preserve">Irwan Setiawan, S.Pd</t>
  </si>
  <si>
    <t xml:space="preserve">Guru PKn</t>
  </si>
  <si>
    <t xml:space="preserve">Juwita Sari, A.Md</t>
  </si>
  <si>
    <t xml:space="preserve">Staf TU</t>
  </si>
  <si>
    <t xml:space="preserve">JUMLAH TOTAL</t>
  </si>
  <si>
    <t xml:space="preserve">TUNJANGAN DAN LAIN-LAIN : GURU/PEGAWAI SMK PSKD III</t>
  </si>
  <si>
    <t xml:space="preserve">BULAN : JUNI 2026</t>
  </si>
  <si>
    <t xml:space="preserve">NO.UR.</t>
  </si>
  <si>
    <t xml:space="preserve">STATUS KEPEG</t>
  </si>
  <si>
    <t xml:space="preserve">JABATAN</t>
  </si>
  <si>
    <t xml:space="preserve">TUNJ. KESRA</t>
  </si>
  <si>
    <t xml:space="preserve">SUPERVISI Ka Sek</t>
  </si>
  <si>
    <t xml:space="preserve">TUNJ.JAB Ka Sek</t>
  </si>
  <si>
    <t xml:space="preserve">WALI KELAS</t>
  </si>
  <si>
    <t xml:space="preserve">PIKET</t>
  </si>
  <si>
    <t xml:space="preserve">KET.RUMP. JURBENG</t>
  </si>
  <si>
    <t xml:space="preserve">HONOR BULAN</t>
  </si>
  <si>
    <t xml:space="preserve">HADIR</t>
  </si>
  <si>
    <t xml:space="preserve">Juml WFH</t>
  </si>
  <si>
    <t xml:space="preserve">WFH/P.</t>
  </si>
  <si>
    <t xml:space="preserve">JUMLAH WFO</t>
  </si>
  <si>
    <t xml:space="preserve">WFO DIBAYARKAN TRANSPORT</t>
  </si>
  <si>
    <t xml:space="preserve">TUNJANGAN KHUSUS</t>
  </si>
  <si>
    <t xml:space="preserve">TOTAL TUNJANGAN</t>
  </si>
  <si>
    <t xml:space="preserve">GTY</t>
  </si>
  <si>
    <t xml:space="preserve">Wakasek Kurikulum</t>
  </si>
  <si>
    <t xml:space="preserve">GTT</t>
  </si>
  <si>
    <t xml:space="preserve">PTY</t>
  </si>
  <si>
    <t xml:space="preserve">PTT</t>
  </si>
  <si>
    <t xml:space="preserve">DAFTAR REKAPITULASI JAM LEBIH</t>
  </si>
  <si>
    <t xml:space="preserve">SMK PSKD 3</t>
  </si>
  <si>
    <t xml:space="preserve">TERHITUNG TANGGAL 16 Mei 2026 - 20 Juni 2026</t>
  </si>
  <si>
    <t xml:space="preserve">NAMA GURU</t>
  </si>
  <si>
    <t xml:space="preserve">KETERANGAN</t>
  </si>
  <si>
    <t xml:space="preserve">TOTAL JAM</t>
  </si>
  <si>
    <t xml:space="preserve">WAJIB/LEBIH</t>
  </si>
  <si>
    <t xml:space="preserve">JAM MENGAJAR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</si>
  <si>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</si>
  <si>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</si>
  <si>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</si>
  <si>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</si>
  <si>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</si>
  <si>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</si>
  <si>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</si>
  <si>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</si>
  <si>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</si>
  <si>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</si>
  <si>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</si>
  <si>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</si>
  <si>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</si>
  <si>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</si>
  <si>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</si>
  <si>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</si>
  <si>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</si>
  <si>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</si>
  <si>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</si>
  <si>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</si>
  <si>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JAM TDK HADIR</t>
  </si>
  <si>
    <t xml:space="preserve">JAM LEBIH</t>
  </si>
  <si>
    <t xml:space="preserve">HARI HADIR HONOR</t>
  </si>
  <si>
    <t xml:space="preserve">Ka.Sek</t>
  </si>
  <si>
    <t xml:space="preserve">Wakasek</t>
  </si>
  <si>
    <t xml:space="preserve">Guru</t>
  </si>
  <si>
    <t xml:space="preserve">Staf</t>
  </si>
  <si>
    <t xml:space="preserve">GAJI GURU/PEGAWAI  SMK PSKD III</t>
  </si>
  <si>
    <t xml:space="preserve">Jun-26</t>
  </si>
  <si>
    <t xml:space="preserve">NO.</t>
  </si>
  <si>
    <t xml:space="preserve">NAMA DAN
TANGGAL LAHIR</t>
  </si>
  <si>
    <t xml:space="preserve">TK
K
D
J</t>
  </si>
  <si>
    <t xml:space="preserve">PANGKAT
GOL/RUANG</t>
  </si>
  <si>
    <t xml:space="preserve">JLH
JIWA</t>
  </si>
  <si>
    <t xml:space="preserve">GJ. POKOK
P.P.1997
P.P.1985</t>
  </si>
  <si>
    <t xml:space="preserve">TUNJ.KEL
a. Istri 10%
b.Anak 2%</t>
  </si>
  <si>
    <t xml:space="preserve">TUNJA-
NGAN
KESRA</t>
  </si>
  <si>
    <t xml:space="preserve">TUNJJABT
a. Struktural
b. Fungsional</t>
  </si>
  <si>
    <t xml:space="preserve">TUNJJAB.
25%
PP 1985</t>
  </si>
  <si>
    <t xml:space="preserve">SB.DANA
CHUK
2%PP'85</t>
  </si>
  <si>
    <t xml:space="preserve">SB.DANA
CHUK
8%PP'85</t>
  </si>
  <si>
    <t xml:space="preserve">TUNJANGAN
PERBAIKAN
PENGHASILAN</t>
  </si>
  <si>
    <t xml:space="preserve">Pembu
latan</t>
  </si>
  <si>
    <t xml:space="preserve">JLH BRUTO</t>
  </si>
  <si>
    <t xml:space="preserve">Ang
Pinjam</t>
  </si>
  <si>
    <t xml:space="preserve">Sim
Dana
Wajib</t>
  </si>
  <si>
    <t xml:space="preserve">S.PSKD
Dana
CHUK</t>
  </si>
  <si>
    <t xml:space="preserve">Premi
Pelkes</t>
  </si>
  <si>
    <t xml:space="preserve">JUMLAH
POTONGAN</t>
  </si>
  <si>
    <t xml:space="preserve">Drs. Ahmad Fauzi, M.Pd
01-03-1970</t>
  </si>
  <si>
    <t xml:space="preserve">K</t>
  </si>
  <si>
    <t xml:space="preserve">III/d</t>
  </si>
  <si>
    <t xml:space="preserve">Siti Rahayu, S.Pd
15-07-1975</t>
  </si>
  <si>
    <t xml:space="preserve">III/c</t>
  </si>
  <si>
    <t xml:space="preserve">Budi Santoso, S.Pd
20-05-1978</t>
  </si>
  <si>
    <t xml:space="preserve">III/b</t>
  </si>
  <si>
    <t xml:space="preserve">Dewi Lestari, S.Pd
08-11-1980</t>
  </si>
  <si>
    <t xml:space="preserve">TK</t>
  </si>
  <si>
    <t xml:space="preserve">Eko Prasetyo, S.Kom
25-02-1985</t>
  </si>
  <si>
    <t xml:space="preserve">III/a</t>
  </si>
  <si>
    <t xml:space="preserve">Fitri Handayani, S.Pd
12-09-1983</t>
  </si>
  <si>
    <t xml:space="preserve">Gunawan, S.Pd
30-04-1987</t>
  </si>
  <si>
    <t xml:space="preserve">II/d</t>
  </si>
  <si>
    <t xml:space="preserve">Hani Pertiwi, S.E
17-06-1990</t>
  </si>
  <si>
    <t xml:space="preserve">II/c</t>
  </si>
  <si>
    <t xml:space="preserve">Irwan Setiawan, S.Pd
22-08-1988</t>
  </si>
  <si>
    <t xml:space="preserve">Juwita Sari, A.Md
05-12-1995</t>
  </si>
  <si>
    <t xml:space="preserve">II/a</t>
  </si>
  <si>
    <t xml:space="preserve">DAFTAR PERMINTAAN PEMBAYARAN GAJI</t>
  </si>
  <si>
    <t xml:space="preserve">SMK PSKD III - BULAN JUNI 2026</t>
  </si>
  <si>
    <t xml:space="preserve">GOL/RUANG</t>
  </si>
  <si>
    <t xml:space="preserve">GAJI POKOK</t>
  </si>
  <si>
    <t xml:space="preserve">TUNJANGAN</t>
  </si>
  <si>
    <t xml:space="preserve">HONORARIUM</t>
  </si>
  <si>
    <t xml:space="preserve">TRANSPORT</t>
  </si>
  <si>
    <t xml:space="preserve">POTONGAN</t>
  </si>
  <si>
    <t xml:space="preserve">JUMLAH DITERIMA</t>
  </si>
  <si>
    <t xml:space="preserve">TOTAL</t>
  </si>
  <si>
    <t xml:space="preserve">Mengetahui,
Kepala Sekolah
Drs. Ahmad Fauzi, M.Pd</t>
  </si>
  <si>
    <t xml:space="preserve">Jakarta, Juni 2026
Bendahara
Hani Pertiwi, S.E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</si>
</sst>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DDEEFF"/>
      </patternFill>
    </fill>
    <fill>
      <patternFill patternType="solid">
        <fgColor rgb="FFFFFF00"/>
        <bgColor rgb="FFFFFF00"/>
      </patternFill>
    </fill>
    <fill>
      <patternFill patternType="solid">
        <fgColor rgb="FFDDEEFF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8" min="6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3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5" hidden="false" customHeight="false" outlineLevel="0" collapsed="false">
      <c r="A5" s="5" t="n">
        <v>1</v>
      </c>
      <c r="B5" s="6" t="s">
        <v>14</v>
      </c>
      <c r="C5" s="6" t="s">
        <v>15</v>
      </c>
      <c r="D5" s="5" t="n">
        <v>26</v>
      </c>
      <c r="E5" s="7" t="n">
        <v>8500000</v>
      </c>
      <c r="F5" s="7" t="n">
        <v>2500000</v>
      </c>
      <c r="G5" s="7" t="n">
        <v>780000</v>
      </c>
      <c r="H5" s="7" t="n">
        <f aca="false">E5+F5+G5</f>
        <v>11780000</v>
      </c>
      <c r="I5" s="7" t="n">
        <v>575000</v>
      </c>
      <c r="J5" s="7" t="n">
        <f aca="false">H5-I5</f>
        <v>11205000</v>
      </c>
      <c r="K5" s="5"/>
    </row>
    <row r="6" customFormat="false" ht="15" hidden="false" customHeight="false" outlineLevel="0" collapsed="false">
      <c r="A6" s="5" t="n">
        <v>2</v>
      </c>
      <c r="B6" s="6" t="s">
        <v>16</v>
      </c>
      <c r="C6" s="6" t="s">
        <v>17</v>
      </c>
      <c r="D6" s="5" t="n">
        <v>24</v>
      </c>
      <c r="E6" s="7" t="n">
        <v>7200000</v>
      </c>
      <c r="F6" s="7" t="n">
        <v>2000000</v>
      </c>
      <c r="G6" s="7" t="n">
        <v>720000</v>
      </c>
      <c r="H6" s="7" t="n">
        <f aca="false">E6+F6+G6</f>
        <v>9920000</v>
      </c>
      <c r="I6" s="7" t="n">
        <v>510000</v>
      </c>
      <c r="J6" s="7" t="n">
        <f aca="false">H6-I6</f>
        <v>9410000</v>
      </c>
      <c r="K6" s="5"/>
    </row>
    <row r="7" customFormat="false" ht="15" hidden="false" customHeight="false" outlineLevel="0" collapsed="false">
      <c r="A7" s="5" t="n">
        <v>3</v>
      </c>
      <c r="B7" s="6" t="s">
        <v>18</v>
      </c>
      <c r="C7" s="6" t="s">
        <v>19</v>
      </c>
      <c r="D7" s="5" t="n">
        <v>22</v>
      </c>
      <c r="E7" s="7" t="n">
        <v>6500000</v>
      </c>
      <c r="F7" s="7" t="n">
        <v>1500000</v>
      </c>
      <c r="G7" s="7" t="n">
        <v>660000</v>
      </c>
      <c r="H7" s="7" t="n">
        <f aca="false">E7+F7+G7</f>
        <v>8660000</v>
      </c>
      <c r="I7" s="7" t="n">
        <v>475000</v>
      </c>
      <c r="J7" s="7" t="n">
        <f aca="false">H7-I7</f>
        <v>8185000</v>
      </c>
      <c r="K7" s="5"/>
    </row>
    <row r="8" customFormat="false" ht="15" hidden="false" customHeight="false" outlineLevel="0" collapsed="false">
      <c r="A8" s="5" t="n">
        <v>4</v>
      </c>
      <c r="B8" s="6" t="s">
        <v>20</v>
      </c>
      <c r="C8" s="6" t="s">
        <v>21</v>
      </c>
      <c r="D8" s="5" t="n">
        <v>22</v>
      </c>
      <c r="E8" s="7" t="n">
        <v>6300000</v>
      </c>
      <c r="F8" s="7" t="n">
        <v>1500000</v>
      </c>
      <c r="G8" s="7" t="n">
        <v>660000</v>
      </c>
      <c r="H8" s="7" t="n">
        <f aca="false">E8+F8+G8</f>
        <v>8460000</v>
      </c>
      <c r="I8" s="7" t="n">
        <v>465000</v>
      </c>
      <c r="J8" s="7" t="n">
        <f aca="false">H8-I8</f>
        <v>7995000</v>
      </c>
      <c r="K8" s="5"/>
    </row>
    <row r="9" customFormat="false" ht="15" hidden="false" customHeight="false" outlineLevel="0" collapsed="false">
      <c r="A9" s="5" t="n">
        <v>5</v>
      </c>
      <c r="B9" s="6" t="s">
        <v>22</v>
      </c>
      <c r="C9" s="6" t="s">
        <v>23</v>
      </c>
      <c r="D9" s="5" t="n">
        <v>20</v>
      </c>
      <c r="E9" s="7" t="n">
        <v>5800000</v>
      </c>
      <c r="F9" s="7" t="n">
        <v>1200000</v>
      </c>
      <c r="G9" s="7" t="n">
        <v>600000</v>
      </c>
      <c r="H9" s="7" t="n">
        <f aca="false">E9+F9+G9</f>
        <v>7600000</v>
      </c>
      <c r="I9" s="7" t="n">
        <v>440000</v>
      </c>
      <c r="J9" s="7" t="n">
        <f aca="false">H9-I9</f>
        <v>7160000</v>
      </c>
      <c r="K9" s="5"/>
    </row>
    <row r="10" customFormat="false" ht="15" hidden="false" customHeight="false" outlineLevel="0" collapsed="false">
      <c r="A10" s="5" t="n">
        <v>6</v>
      </c>
      <c r="B10" s="6" t="s">
        <v>24</v>
      </c>
      <c r="C10" s="6" t="s">
        <v>25</v>
      </c>
      <c r="D10" s="5" t="n">
        <v>20</v>
      </c>
      <c r="E10" s="7" t="n">
        <v>5800000</v>
      </c>
      <c r="F10" s="7" t="n">
        <v>1400000</v>
      </c>
      <c r="G10" s="7" t="n">
        <v>600000</v>
      </c>
      <c r="H10" s="7" t="n">
        <f aca="false">E10+F10+G10</f>
        <v>7800000</v>
      </c>
      <c r="I10" s="7" t="n">
        <v>440000</v>
      </c>
      <c r="J10" s="7" t="n">
        <f aca="false">H10-I10</f>
        <v>7360000</v>
      </c>
      <c r="K10" s="5"/>
    </row>
    <row r="11" customFormat="false" ht="15" hidden="false" customHeight="false" outlineLevel="0" collapsed="false">
      <c r="A11" s="5" t="n">
        <v>7</v>
      </c>
      <c r="B11" s="6" t="s">
        <v>26</v>
      </c>
      <c r="C11" s="6" t="s">
        <v>27</v>
      </c>
      <c r="D11" s="5" t="n">
        <v>18</v>
      </c>
      <c r="E11" s="7" t="n">
        <v>5200000</v>
      </c>
      <c r="F11" s="7" t="n">
        <v>1200000</v>
      </c>
      <c r="G11" s="7" t="n">
        <v>540000</v>
      </c>
      <c r="H11" s="7" t="n">
        <f aca="false">E11+F11+G11</f>
        <v>6940000</v>
      </c>
      <c r="I11" s="7" t="n">
        <v>410000</v>
      </c>
      <c r="J11" s="7" t="n">
        <f aca="false">H11-I11</f>
        <v>6530000</v>
      </c>
      <c r="K11" s="5"/>
    </row>
    <row r="12" customFormat="false" ht="15" hidden="false" customHeight="false" outlineLevel="0" collapsed="false">
      <c r="A12" s="5" t="n">
        <v>8</v>
      </c>
      <c r="B12" s="6" t="s">
        <v>28</v>
      </c>
      <c r="C12" s="6" t="s">
        <v>29</v>
      </c>
      <c r="D12" s="5" t="n">
        <v>18</v>
      </c>
      <c r="E12" s="7" t="n">
        <v>4800000</v>
      </c>
      <c r="F12" s="7" t="n">
        <v>1000000</v>
      </c>
      <c r="G12" s="7" t="n">
        <v>540000</v>
      </c>
      <c r="H12" s="7" t="n">
        <f aca="false">E12+F12+G12</f>
        <v>6340000</v>
      </c>
      <c r="I12" s="7" t="n">
        <v>390000</v>
      </c>
      <c r="J12" s="7" t="n">
        <f aca="false">H12-I12</f>
        <v>5950000</v>
      </c>
      <c r="K12" s="5"/>
    </row>
    <row r="13" customFormat="false" ht="15" hidden="false" customHeight="false" outlineLevel="0" collapsed="false">
      <c r="A13" s="5" t="n">
        <v>9</v>
      </c>
      <c r="B13" s="6" t="s">
        <v>30</v>
      </c>
      <c r="C13" s="6" t="s">
        <v>31</v>
      </c>
      <c r="D13" s="5" t="n">
        <v>16</v>
      </c>
      <c r="E13" s="7" t="n">
        <v>4500000</v>
      </c>
      <c r="F13" s="7" t="n">
        <v>1000000</v>
      </c>
      <c r="G13" s="7" t="n">
        <v>480000</v>
      </c>
      <c r="H13" s="7" t="n">
        <f aca="false">E13+F13+G13</f>
        <v>5980000</v>
      </c>
      <c r="I13" s="7" t="n">
        <v>375000</v>
      </c>
      <c r="J13" s="7" t="n">
        <f aca="false">H13-I13</f>
        <v>5605000</v>
      </c>
      <c r="K13" s="5"/>
    </row>
    <row r="14" customFormat="false" ht="15" hidden="false" customHeight="false" outlineLevel="0" collapsed="false">
      <c r="A14" s="5" t="n">
        <v>10</v>
      </c>
      <c r="B14" s="6" t="s">
        <v>32</v>
      </c>
      <c r="C14" s="6" t="s">
        <v>33</v>
      </c>
      <c r="D14" s="5" t="n">
        <v>14</v>
      </c>
      <c r="E14" s="7" t="n">
        <v>3800000</v>
      </c>
      <c r="F14" s="7" t="n">
        <v>800000</v>
      </c>
      <c r="G14" s="7" t="n">
        <v>420000</v>
      </c>
      <c r="H14" s="7" t="n">
        <f aca="false">E14+F14+G14</f>
        <v>5020000</v>
      </c>
      <c r="I14" s="7" t="n">
        <v>340000</v>
      </c>
      <c r="J14" s="7" t="n">
        <f aca="false">H14-I14</f>
        <v>4680000</v>
      </c>
      <c r="K14" s="5"/>
    </row>
    <row r="15" customFormat="false" ht="15" hidden="false" customHeight="false" outlineLevel="0" collapsed="false">
      <c r="A15" s="8" t="s">
        <v>34</v>
      </c>
      <c r="B15" s="8"/>
      <c r="C15" s="8"/>
      <c r="D15" s="8"/>
      <c r="E15" s="9" t="n">
        <f aca="false">SUM(E5:E14)</f>
        <v>58400000</v>
      </c>
      <c r="F15" s="9" t="n">
        <f aca="false">SUM(F5:F14)</f>
        <v>14100000</v>
      </c>
      <c r="G15" s="9" t="n">
        <f aca="false">SUM(G5:G14)</f>
        <v>6000000</v>
      </c>
      <c r="H15" s="9" t="n">
        <f aca="false">SUM(H5:H14)</f>
        <v>78500000</v>
      </c>
      <c r="I15" s="9" t="n">
        <f aca="false">SUM(I5:I14)</f>
        <v>4420000</v>
      </c>
      <c r="J15" s="9" t="n">
        <f aca="false">SUM(J5:J14)</f>
        <v>74080000</v>
      </c>
    </row>
  </sheetData>
  <mergeCells count="4">
    <mergeCell ref="A1:M1"/>
    <mergeCell ref="A2:M2"/>
    <mergeCell ref="A3:M3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18" min="5" style="0" width="14"/>
  </cols>
  <sheetData>
    <row r="1" customFormat="false" ht="15" hidden="false" customHeight="false" outlineLevel="0" collapsed="false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5.05" hidden="false" customHeight="false" outlineLevel="0" collapsed="false">
      <c r="A3" s="10" t="s">
        <v>37</v>
      </c>
      <c r="B3" s="10" t="s">
        <v>4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0" t="s">
        <v>51</v>
      </c>
      <c r="Q3" s="10" t="s">
        <v>52</v>
      </c>
      <c r="R3" s="10" t="s">
        <v>53</v>
      </c>
    </row>
    <row r="4" customFormat="false" ht="15" hidden="false" customHeight="false" outlineLevel="0" collapsed="false">
      <c r="A4" s="5" t="n">
        <v>1</v>
      </c>
      <c r="B4" s="5" t="s">
        <v>14</v>
      </c>
      <c r="C4" s="5" t="s">
        <v>54</v>
      </c>
      <c r="D4" s="5" t="s">
        <v>15</v>
      </c>
      <c r="E4" s="7" t="n">
        <v>500000</v>
      </c>
      <c r="F4" s="7" t="n">
        <v>1000000</v>
      </c>
      <c r="G4" s="7" t="n">
        <v>1000000</v>
      </c>
      <c r="H4" s="7" t="n">
        <v>0</v>
      </c>
      <c r="I4" s="7" t="n">
        <v>0</v>
      </c>
      <c r="J4" s="7" t="n">
        <v>200000</v>
      </c>
      <c r="K4" s="7" t="n">
        <v>500000</v>
      </c>
      <c r="L4" s="7" t="n">
        <v>26</v>
      </c>
      <c r="M4" s="11" t="n">
        <v>0</v>
      </c>
      <c r="N4" s="11" t="n">
        <v>0</v>
      </c>
      <c r="O4" s="7" t="n">
        <v>26</v>
      </c>
      <c r="P4" s="7" t="n">
        <v>780000</v>
      </c>
      <c r="Q4" s="7" t="n">
        <v>0</v>
      </c>
      <c r="R4" s="12" t="n">
        <f aca="false">SUM(E4:Q4)</f>
        <v>3980052</v>
      </c>
    </row>
    <row r="5" customFormat="false" ht="15" hidden="false" customHeight="false" outlineLevel="0" collapsed="false">
      <c r="A5" s="5" t="n">
        <v>2</v>
      </c>
      <c r="B5" s="5" t="s">
        <v>16</v>
      </c>
      <c r="C5" s="5" t="s">
        <v>54</v>
      </c>
      <c r="D5" s="5" t="s">
        <v>55</v>
      </c>
      <c r="E5" s="7" t="n">
        <v>400000</v>
      </c>
      <c r="F5" s="7" t="n">
        <v>0</v>
      </c>
      <c r="G5" s="7" t="n">
        <v>750000</v>
      </c>
      <c r="H5" s="7" t="n">
        <v>0</v>
      </c>
      <c r="I5" s="7" t="n">
        <v>200000</v>
      </c>
      <c r="J5" s="7" t="n">
        <v>150000</v>
      </c>
      <c r="K5" s="7" t="n">
        <v>400000</v>
      </c>
      <c r="L5" s="7" t="n">
        <v>24</v>
      </c>
      <c r="M5" s="11" t="n">
        <v>2</v>
      </c>
      <c r="N5" s="11" t="n">
        <v>400000</v>
      </c>
      <c r="O5" s="7" t="n">
        <v>22</v>
      </c>
      <c r="P5" s="7" t="n">
        <v>660000</v>
      </c>
      <c r="Q5" s="7" t="n">
        <v>0</v>
      </c>
      <c r="R5" s="12" t="n">
        <f aca="false">SUM(E5:Q5)</f>
        <v>2960048</v>
      </c>
    </row>
    <row r="6" customFormat="false" ht="15" hidden="false" customHeight="false" outlineLevel="0" collapsed="false">
      <c r="A6" s="5" t="n">
        <v>3</v>
      </c>
      <c r="B6" s="5" t="s">
        <v>18</v>
      </c>
      <c r="C6" s="5" t="s">
        <v>54</v>
      </c>
      <c r="D6" s="5" t="s">
        <v>19</v>
      </c>
      <c r="E6" s="7" t="n">
        <v>350000</v>
      </c>
      <c r="F6" s="7" t="n">
        <v>0</v>
      </c>
      <c r="G6" s="7" t="n">
        <v>0</v>
      </c>
      <c r="H6" s="7" t="n">
        <v>400000</v>
      </c>
      <c r="I6" s="7" t="n">
        <v>150000</v>
      </c>
      <c r="J6" s="7" t="n">
        <v>100000</v>
      </c>
      <c r="K6" s="7" t="n">
        <v>350000</v>
      </c>
      <c r="L6" s="7" t="n">
        <v>22</v>
      </c>
      <c r="M6" s="11" t="n">
        <v>0</v>
      </c>
      <c r="N6" s="11" t="n">
        <v>0</v>
      </c>
      <c r="O6" s="7" t="n">
        <v>22</v>
      </c>
      <c r="P6" s="7" t="n">
        <v>660000</v>
      </c>
      <c r="Q6" s="7" t="n">
        <v>0</v>
      </c>
      <c r="R6" s="12" t="n">
        <f aca="false">SUM(E6:Q6)</f>
        <v>2010044</v>
      </c>
    </row>
    <row r="7" customFormat="false" ht="15" hidden="false" customHeight="false" outlineLevel="0" collapsed="false">
      <c r="A7" s="5" t="n">
        <v>4</v>
      </c>
      <c r="B7" s="5" t="s">
        <v>20</v>
      </c>
      <c r="C7" s="5" t="s">
        <v>54</v>
      </c>
      <c r="D7" s="5" t="s">
        <v>21</v>
      </c>
      <c r="E7" s="7" t="n">
        <v>350000</v>
      </c>
      <c r="F7" s="7" t="n">
        <v>0</v>
      </c>
      <c r="G7" s="7" t="n">
        <v>0</v>
      </c>
      <c r="H7" s="7" t="n">
        <v>400000</v>
      </c>
      <c r="I7" s="7" t="n">
        <v>100000</v>
      </c>
      <c r="J7" s="7" t="n">
        <v>100000</v>
      </c>
      <c r="K7" s="7" t="n">
        <v>350000</v>
      </c>
      <c r="L7" s="7" t="n">
        <v>22</v>
      </c>
      <c r="M7" s="11" t="n">
        <v>1</v>
      </c>
      <c r="N7" s="11" t="n">
        <v>200000</v>
      </c>
      <c r="O7" s="7" t="n">
        <v>21</v>
      </c>
      <c r="P7" s="7" t="n">
        <v>630000</v>
      </c>
      <c r="Q7" s="7" t="n">
        <v>0</v>
      </c>
      <c r="R7" s="12" t="n">
        <f aca="false">SUM(E7:Q7)</f>
        <v>2130044</v>
      </c>
    </row>
    <row r="8" customFormat="false" ht="15" hidden="false" customHeight="false" outlineLevel="0" collapsed="false">
      <c r="A8" s="5" t="n">
        <v>5</v>
      </c>
      <c r="B8" s="5" t="s">
        <v>22</v>
      </c>
      <c r="C8" s="5" t="s">
        <v>54</v>
      </c>
      <c r="D8" s="5" t="s">
        <v>23</v>
      </c>
      <c r="E8" s="7" t="n">
        <v>300000</v>
      </c>
      <c r="F8" s="7" t="n">
        <v>0</v>
      </c>
      <c r="G8" s="7" t="n">
        <v>0</v>
      </c>
      <c r="H8" s="7" t="n">
        <v>0</v>
      </c>
      <c r="I8" s="7" t="n">
        <v>150000</v>
      </c>
      <c r="J8" s="7" t="n">
        <v>100000</v>
      </c>
      <c r="K8" s="7" t="n">
        <v>300000</v>
      </c>
      <c r="L8" s="7" t="n">
        <v>20</v>
      </c>
      <c r="M8" s="11" t="n">
        <v>0</v>
      </c>
      <c r="N8" s="11" t="n">
        <v>0</v>
      </c>
      <c r="O8" s="7" t="n">
        <v>20</v>
      </c>
      <c r="P8" s="7" t="n">
        <v>600000</v>
      </c>
      <c r="Q8" s="7" t="n">
        <v>200000</v>
      </c>
      <c r="R8" s="12" t="n">
        <f aca="false">SUM(E8:Q8)</f>
        <v>1650040</v>
      </c>
    </row>
    <row r="9" customFormat="false" ht="15" hidden="false" customHeight="false" outlineLevel="0" collapsed="false">
      <c r="A9" s="5" t="n">
        <v>6</v>
      </c>
      <c r="B9" s="5" t="s">
        <v>24</v>
      </c>
      <c r="C9" s="5" t="s">
        <v>54</v>
      </c>
      <c r="D9" s="5" t="s">
        <v>25</v>
      </c>
      <c r="E9" s="7" t="n">
        <v>300000</v>
      </c>
      <c r="F9" s="7" t="n">
        <v>0</v>
      </c>
      <c r="G9" s="7" t="n">
        <v>0</v>
      </c>
      <c r="H9" s="7" t="n">
        <v>500000</v>
      </c>
      <c r="I9" s="7" t="n">
        <v>100000</v>
      </c>
      <c r="J9" s="7" t="n">
        <v>100000</v>
      </c>
      <c r="K9" s="7" t="n">
        <v>300000</v>
      </c>
      <c r="L9" s="7" t="n">
        <v>20</v>
      </c>
      <c r="M9" s="11" t="n">
        <v>0</v>
      </c>
      <c r="N9" s="11" t="n">
        <v>0</v>
      </c>
      <c r="O9" s="7" t="n">
        <v>20</v>
      </c>
      <c r="P9" s="7" t="n">
        <v>600000</v>
      </c>
      <c r="Q9" s="7" t="n">
        <v>0</v>
      </c>
      <c r="R9" s="12" t="n">
        <f aca="false">SUM(E9:Q9)</f>
        <v>1900040</v>
      </c>
    </row>
    <row r="10" customFormat="false" ht="15" hidden="false" customHeight="false" outlineLevel="0" collapsed="false">
      <c r="A10" s="5" t="n">
        <v>7</v>
      </c>
      <c r="B10" s="5" t="s">
        <v>26</v>
      </c>
      <c r="C10" s="5" t="s">
        <v>56</v>
      </c>
      <c r="D10" s="5" t="s">
        <v>27</v>
      </c>
      <c r="E10" s="7" t="n">
        <v>250000</v>
      </c>
      <c r="F10" s="7" t="n">
        <v>0</v>
      </c>
      <c r="G10" s="7" t="n">
        <v>0</v>
      </c>
      <c r="H10" s="7" t="n">
        <v>0</v>
      </c>
      <c r="I10" s="7" t="n">
        <v>100000</v>
      </c>
      <c r="J10" s="7" t="n">
        <v>0</v>
      </c>
      <c r="K10" s="7" t="n">
        <v>250000</v>
      </c>
      <c r="L10" s="7" t="n">
        <v>18</v>
      </c>
      <c r="M10" s="11" t="n">
        <v>2</v>
      </c>
      <c r="N10" s="11" t="n">
        <v>400000</v>
      </c>
      <c r="O10" s="7" t="n">
        <v>16</v>
      </c>
      <c r="P10" s="7" t="n">
        <v>480000</v>
      </c>
      <c r="Q10" s="7" t="n">
        <v>0</v>
      </c>
      <c r="R10" s="12" t="n">
        <f aca="false">SUM(E10:Q10)</f>
        <v>1480036</v>
      </c>
    </row>
    <row r="11" customFormat="false" ht="15" hidden="false" customHeight="false" outlineLevel="0" collapsed="false">
      <c r="A11" s="5" t="n">
        <v>8</v>
      </c>
      <c r="B11" s="5" t="s">
        <v>28</v>
      </c>
      <c r="C11" s="5" t="s">
        <v>57</v>
      </c>
      <c r="D11" s="5" t="s">
        <v>29</v>
      </c>
      <c r="E11" s="7" t="n">
        <v>200000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200000</v>
      </c>
      <c r="L11" s="7" t="n">
        <v>18</v>
      </c>
      <c r="M11" s="11" t="n">
        <v>0</v>
      </c>
      <c r="N11" s="11" t="n">
        <v>0</v>
      </c>
      <c r="O11" s="7" t="n">
        <v>18</v>
      </c>
      <c r="P11" s="7" t="n">
        <v>540000</v>
      </c>
      <c r="Q11" s="7" t="n">
        <v>0</v>
      </c>
      <c r="R11" s="12" t="n">
        <f aca="false">SUM(E11:Q11)</f>
        <v>940036</v>
      </c>
    </row>
    <row r="12" customFormat="false" ht="15" hidden="false" customHeight="false" outlineLevel="0" collapsed="false">
      <c r="A12" s="5" t="n">
        <v>9</v>
      </c>
      <c r="B12" s="5" t="s">
        <v>30</v>
      </c>
      <c r="C12" s="5" t="s">
        <v>56</v>
      </c>
      <c r="D12" s="5" t="s">
        <v>31</v>
      </c>
      <c r="E12" s="7" t="n">
        <v>200000</v>
      </c>
      <c r="F12" s="7" t="n">
        <v>0</v>
      </c>
      <c r="G12" s="7" t="n">
        <v>0</v>
      </c>
      <c r="H12" s="7" t="n">
        <v>0</v>
      </c>
      <c r="I12" s="7" t="n">
        <v>100000</v>
      </c>
      <c r="J12" s="7" t="n">
        <v>0</v>
      </c>
      <c r="K12" s="7" t="n">
        <v>200000</v>
      </c>
      <c r="L12" s="7" t="n">
        <v>16</v>
      </c>
      <c r="M12" s="11" t="n">
        <v>1</v>
      </c>
      <c r="N12" s="11" t="n">
        <v>200000</v>
      </c>
      <c r="O12" s="7" t="n">
        <v>15</v>
      </c>
      <c r="P12" s="7" t="n">
        <v>450000</v>
      </c>
      <c r="Q12" s="7" t="n">
        <v>0</v>
      </c>
      <c r="R12" s="12" t="n">
        <f aca="false">SUM(E12:Q12)</f>
        <v>1150032</v>
      </c>
    </row>
    <row r="13" customFormat="false" ht="15" hidden="false" customHeight="false" outlineLevel="0" collapsed="false">
      <c r="A13" s="5" t="n">
        <v>10</v>
      </c>
      <c r="B13" s="5" t="s">
        <v>32</v>
      </c>
      <c r="C13" s="5" t="s">
        <v>58</v>
      </c>
      <c r="D13" s="5" t="s">
        <v>33</v>
      </c>
      <c r="E13" s="7" t="n">
        <v>150000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150000</v>
      </c>
      <c r="L13" s="7" t="n">
        <v>14</v>
      </c>
      <c r="M13" s="11" t="n">
        <v>0</v>
      </c>
      <c r="N13" s="11" t="n">
        <v>0</v>
      </c>
      <c r="O13" s="7" t="n">
        <v>14</v>
      </c>
      <c r="P13" s="7" t="n">
        <v>420000</v>
      </c>
      <c r="Q13" s="7" t="n">
        <v>0</v>
      </c>
      <c r="R13" s="12" t="n">
        <f aca="false">SUM(E13:Q13)</f>
        <v>720028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29" min="7" style="0" width="5"/>
  </cols>
  <sheetData>
    <row r="1" customFormat="false" ht="15" hidden="false" customHeight="false" outlineLevel="0" collapsed="false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3" t="s">
        <v>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57.45" hidden="false" customHeight="false" outlineLevel="0" collapsed="false">
      <c r="A4" s="10" t="s">
        <v>3</v>
      </c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  <c r="I4" s="10" t="s">
        <v>69</v>
      </c>
      <c r="J4" s="10" t="s">
        <v>70</v>
      </c>
      <c r="K4" s="13" t="s">
        <v>71</v>
      </c>
      <c r="L4" s="10" t="s">
        <v>72</v>
      </c>
      <c r="M4" s="10" t="s">
        <v>73</v>
      </c>
      <c r="N4" s="10" t="s">
        <v>74</v>
      </c>
      <c r="O4" s="10" t="s">
        <v>75</v>
      </c>
      <c r="P4" s="13" t="s">
        <v>76</v>
      </c>
      <c r="Q4" s="10" t="s">
        <v>77</v>
      </c>
      <c r="R4" s="10" t="s">
        <v>78</v>
      </c>
      <c r="S4" s="10" t="s">
        <v>79</v>
      </c>
      <c r="T4" s="10" t="s">
        <v>80</v>
      </c>
      <c r="U4" s="13" t="s">
        <v>81</v>
      </c>
      <c r="V4" s="10" t="s">
        <v>82</v>
      </c>
      <c r="W4" s="10" t="s">
        <v>83</v>
      </c>
      <c r="X4" s="10" t="s">
        <v>84</v>
      </c>
      <c r="Y4" s="10" t="s">
        <v>85</v>
      </c>
      <c r="Z4" s="13" t="s">
        <v>86</v>
      </c>
      <c r="AA4" s="10" t="s">
        <v>87</v>
      </c>
      <c r="AB4" s="10" t="s">
        <v>88</v>
      </c>
      <c r="AC4" s="10" t="s">
        <v>89</v>
      </c>
    </row>
    <row r="5" customFormat="false" ht="15" hidden="false" customHeight="false" outlineLevel="0" collapsed="false">
      <c r="A5" s="5" t="n">
        <v>1</v>
      </c>
      <c r="B5" s="6" t="s">
        <v>14</v>
      </c>
      <c r="C5" s="5" t="s">
        <v>90</v>
      </c>
      <c r="D5" s="5" t="n">
        <f aca="false">SUM(G5:Z5)</f>
        <v>29</v>
      </c>
      <c r="E5" s="5" t="n">
        <v>24</v>
      </c>
      <c r="F5" s="5" t="n">
        <v>24</v>
      </c>
      <c r="G5" s="5" t="n">
        <v>2</v>
      </c>
      <c r="H5" s="5" t="n">
        <v>2</v>
      </c>
      <c r="I5" s="5" t="n">
        <v>2</v>
      </c>
      <c r="J5" s="5" t="n">
        <v>2</v>
      </c>
      <c r="K5" s="14" t="n">
        <v>0</v>
      </c>
      <c r="L5" s="5" t="n">
        <v>2</v>
      </c>
      <c r="M5" s="5" t="n">
        <v>2</v>
      </c>
      <c r="N5" s="5" t="n">
        <v>2</v>
      </c>
      <c r="O5" s="5" t="n">
        <v>0</v>
      </c>
      <c r="P5" s="14" t="n">
        <v>0</v>
      </c>
      <c r="Q5" s="5" t="n">
        <v>2</v>
      </c>
      <c r="R5" s="5" t="n">
        <v>0</v>
      </c>
      <c r="S5" s="5" t="n">
        <v>3</v>
      </c>
      <c r="T5" s="5" t="n">
        <v>2</v>
      </c>
      <c r="U5" s="14" t="n">
        <v>0</v>
      </c>
      <c r="V5" s="5" t="n">
        <v>2</v>
      </c>
      <c r="W5" s="5" t="n">
        <v>2</v>
      </c>
      <c r="X5" s="5" t="n">
        <v>2</v>
      </c>
      <c r="Y5" s="5" t="n">
        <v>2</v>
      </c>
      <c r="Z5" s="14" t="n">
        <v>0</v>
      </c>
      <c r="AA5" s="5" t="n">
        <v>0</v>
      </c>
      <c r="AB5" s="5" t="n">
        <v>5</v>
      </c>
      <c r="AC5" s="15" t="n">
        <v>14</v>
      </c>
    </row>
    <row r="6" customFormat="false" ht="15" hidden="false" customHeight="false" outlineLevel="0" collapsed="false">
      <c r="A6" s="5" t="n">
        <v>2</v>
      </c>
      <c r="B6" s="6" t="s">
        <v>16</v>
      </c>
      <c r="C6" s="5" t="s">
        <v>91</v>
      </c>
      <c r="D6" s="5" t="n">
        <f aca="false">SUM(G6:Z6)</f>
        <v>25</v>
      </c>
      <c r="E6" s="5" t="n">
        <v>24</v>
      </c>
      <c r="F6" s="5" t="n">
        <v>24</v>
      </c>
      <c r="G6" s="5" t="n">
        <v>0</v>
      </c>
      <c r="H6" s="5" t="n">
        <v>0</v>
      </c>
      <c r="I6" s="5" t="n">
        <v>2</v>
      </c>
      <c r="J6" s="5" t="n">
        <v>0</v>
      </c>
      <c r="K6" s="14" t="n">
        <v>0</v>
      </c>
      <c r="L6" s="5" t="n">
        <v>2</v>
      </c>
      <c r="M6" s="5" t="n">
        <v>0</v>
      </c>
      <c r="N6" s="5" t="n">
        <v>3</v>
      </c>
      <c r="O6" s="5" t="n">
        <v>2</v>
      </c>
      <c r="P6" s="14" t="n">
        <v>0</v>
      </c>
      <c r="Q6" s="5" t="n">
        <v>3</v>
      </c>
      <c r="R6" s="5" t="n">
        <v>0</v>
      </c>
      <c r="S6" s="5" t="n">
        <v>2</v>
      </c>
      <c r="T6" s="5" t="n">
        <v>2</v>
      </c>
      <c r="U6" s="14" t="n">
        <v>0</v>
      </c>
      <c r="V6" s="5" t="n">
        <v>2</v>
      </c>
      <c r="W6" s="5" t="n">
        <v>3</v>
      </c>
      <c r="X6" s="5" t="n">
        <v>2</v>
      </c>
      <c r="Y6" s="5" t="n">
        <v>2</v>
      </c>
      <c r="Z6" s="14" t="n">
        <v>0</v>
      </c>
      <c r="AA6" s="5" t="n">
        <v>0</v>
      </c>
      <c r="AB6" s="5" t="n">
        <v>1</v>
      </c>
      <c r="AC6" s="15" t="n">
        <v>11</v>
      </c>
    </row>
    <row r="7" customFormat="false" ht="15" hidden="false" customHeight="false" outlineLevel="0" collapsed="false">
      <c r="A7" s="5" t="n">
        <v>3</v>
      </c>
      <c r="B7" s="6" t="s">
        <v>18</v>
      </c>
      <c r="C7" s="5" t="s">
        <v>92</v>
      </c>
      <c r="D7" s="5" t="n">
        <f aca="false">SUM(G7:Z7)</f>
        <v>31</v>
      </c>
      <c r="E7" s="5" t="n">
        <v>24</v>
      </c>
      <c r="F7" s="5" t="n">
        <v>24</v>
      </c>
      <c r="G7" s="5" t="n">
        <v>2</v>
      </c>
      <c r="H7" s="5" t="n">
        <v>2</v>
      </c>
      <c r="I7" s="5" t="n">
        <v>2</v>
      </c>
      <c r="J7" s="5" t="n">
        <v>2</v>
      </c>
      <c r="K7" s="14" t="n">
        <v>0</v>
      </c>
      <c r="L7" s="5" t="n">
        <v>2</v>
      </c>
      <c r="M7" s="5" t="n">
        <v>3</v>
      </c>
      <c r="N7" s="5" t="n">
        <v>2</v>
      </c>
      <c r="O7" s="5" t="n">
        <v>2</v>
      </c>
      <c r="P7" s="14" t="n">
        <v>0</v>
      </c>
      <c r="Q7" s="5" t="n">
        <v>2</v>
      </c>
      <c r="R7" s="5" t="n">
        <v>0</v>
      </c>
      <c r="S7" s="5" t="n">
        <v>2</v>
      </c>
      <c r="T7" s="5" t="n">
        <v>2</v>
      </c>
      <c r="U7" s="14" t="n">
        <v>0</v>
      </c>
      <c r="V7" s="5" t="n">
        <v>3</v>
      </c>
      <c r="W7" s="5" t="n">
        <v>0</v>
      </c>
      <c r="X7" s="5" t="n">
        <v>2</v>
      </c>
      <c r="Y7" s="5" t="n">
        <v>3</v>
      </c>
      <c r="Z7" s="14" t="n">
        <v>0</v>
      </c>
      <c r="AA7" s="5" t="n">
        <v>0</v>
      </c>
      <c r="AB7" s="5" t="n">
        <v>7</v>
      </c>
      <c r="AC7" s="15" t="n">
        <v>14</v>
      </c>
    </row>
    <row r="8" customFormat="false" ht="15" hidden="false" customHeight="false" outlineLevel="0" collapsed="false">
      <c r="A8" s="5" t="n">
        <v>4</v>
      </c>
      <c r="B8" s="6" t="s">
        <v>20</v>
      </c>
      <c r="C8" s="5" t="s">
        <v>92</v>
      </c>
      <c r="D8" s="5" t="n">
        <f aca="false">SUM(G8:Z8)</f>
        <v>27</v>
      </c>
      <c r="E8" s="5" t="n">
        <v>24</v>
      </c>
      <c r="F8" s="5" t="n">
        <v>24</v>
      </c>
      <c r="G8" s="5" t="n">
        <v>2</v>
      </c>
      <c r="H8" s="5" t="n">
        <v>0</v>
      </c>
      <c r="I8" s="5" t="n">
        <v>2</v>
      </c>
      <c r="J8" s="5" t="n">
        <v>0</v>
      </c>
      <c r="K8" s="14" t="n">
        <v>0</v>
      </c>
      <c r="L8" s="5" t="n">
        <v>2</v>
      </c>
      <c r="M8" s="5" t="n">
        <v>0</v>
      </c>
      <c r="N8" s="5" t="n">
        <v>2</v>
      </c>
      <c r="O8" s="5" t="n">
        <v>2</v>
      </c>
      <c r="P8" s="14" t="n">
        <v>0</v>
      </c>
      <c r="Q8" s="5" t="n">
        <v>2</v>
      </c>
      <c r="R8" s="5" t="n">
        <v>2</v>
      </c>
      <c r="S8" s="5" t="n">
        <v>2</v>
      </c>
      <c r="T8" s="5" t="n">
        <v>2</v>
      </c>
      <c r="U8" s="14" t="n">
        <v>0</v>
      </c>
      <c r="V8" s="5" t="n">
        <v>2</v>
      </c>
      <c r="W8" s="5" t="n">
        <v>2</v>
      </c>
      <c r="X8" s="5" t="n">
        <v>3</v>
      </c>
      <c r="Y8" s="5" t="n">
        <v>2</v>
      </c>
      <c r="Z8" s="14" t="n">
        <v>0</v>
      </c>
      <c r="AA8" s="5" t="n">
        <v>0</v>
      </c>
      <c r="AB8" s="5" t="n">
        <v>3</v>
      </c>
      <c r="AC8" s="15" t="n">
        <v>13</v>
      </c>
    </row>
    <row r="9" customFormat="false" ht="15" hidden="false" customHeight="false" outlineLevel="0" collapsed="false">
      <c r="A9" s="5" t="n">
        <v>5</v>
      </c>
      <c r="B9" s="6" t="s">
        <v>22</v>
      </c>
      <c r="C9" s="5" t="s">
        <v>92</v>
      </c>
      <c r="D9" s="5" t="n">
        <f aca="false">SUM(G9:Z9)</f>
        <v>31</v>
      </c>
      <c r="E9" s="5" t="n">
        <v>24</v>
      </c>
      <c r="F9" s="5" t="n">
        <v>24</v>
      </c>
      <c r="G9" s="5" t="n">
        <v>3</v>
      </c>
      <c r="H9" s="5" t="n">
        <v>2</v>
      </c>
      <c r="I9" s="5" t="n">
        <v>2</v>
      </c>
      <c r="J9" s="5" t="n">
        <v>2</v>
      </c>
      <c r="K9" s="14" t="n">
        <v>0</v>
      </c>
      <c r="L9" s="5" t="n">
        <v>2</v>
      </c>
      <c r="M9" s="5" t="n">
        <v>2</v>
      </c>
      <c r="N9" s="5" t="n">
        <v>2</v>
      </c>
      <c r="O9" s="5" t="n">
        <v>2</v>
      </c>
      <c r="P9" s="14" t="n">
        <v>0</v>
      </c>
      <c r="Q9" s="5" t="n">
        <v>0</v>
      </c>
      <c r="R9" s="5" t="n">
        <v>2</v>
      </c>
      <c r="S9" s="5" t="n">
        <v>0</v>
      </c>
      <c r="T9" s="5" t="n">
        <v>2</v>
      </c>
      <c r="U9" s="14" t="n">
        <v>0</v>
      </c>
      <c r="V9" s="5" t="n">
        <v>2</v>
      </c>
      <c r="W9" s="5" t="n">
        <v>3</v>
      </c>
      <c r="X9" s="5" t="n">
        <v>3</v>
      </c>
      <c r="Y9" s="5" t="n">
        <v>2</v>
      </c>
      <c r="Z9" s="14" t="n">
        <v>0</v>
      </c>
      <c r="AA9" s="5" t="n">
        <v>0</v>
      </c>
      <c r="AB9" s="5" t="n">
        <v>7</v>
      </c>
      <c r="AC9" s="15" t="n">
        <v>14</v>
      </c>
    </row>
    <row r="10" customFormat="false" ht="15" hidden="false" customHeight="false" outlineLevel="0" collapsed="false">
      <c r="A10" s="5" t="n">
        <v>6</v>
      </c>
      <c r="B10" s="6" t="s">
        <v>24</v>
      </c>
      <c r="C10" s="5" t="s">
        <v>92</v>
      </c>
      <c r="D10" s="5" t="n">
        <f aca="false">SUM(G10:Z10)</f>
        <v>31</v>
      </c>
      <c r="E10" s="5" t="n">
        <v>24</v>
      </c>
      <c r="F10" s="5" t="n">
        <v>24</v>
      </c>
      <c r="G10" s="5" t="n">
        <v>0</v>
      </c>
      <c r="H10" s="5" t="n">
        <v>2</v>
      </c>
      <c r="I10" s="5" t="n">
        <v>2</v>
      </c>
      <c r="J10" s="5" t="n">
        <v>2</v>
      </c>
      <c r="K10" s="14" t="n">
        <v>0</v>
      </c>
      <c r="L10" s="5" t="n">
        <v>2</v>
      </c>
      <c r="M10" s="5" t="n">
        <v>2</v>
      </c>
      <c r="N10" s="5" t="n">
        <v>2</v>
      </c>
      <c r="O10" s="5" t="n">
        <v>3</v>
      </c>
      <c r="P10" s="14" t="n">
        <v>0</v>
      </c>
      <c r="Q10" s="5" t="n">
        <v>2</v>
      </c>
      <c r="R10" s="5" t="n">
        <v>2</v>
      </c>
      <c r="S10" s="5" t="n">
        <v>2</v>
      </c>
      <c r="T10" s="5" t="n">
        <v>0</v>
      </c>
      <c r="U10" s="14" t="n">
        <v>0</v>
      </c>
      <c r="V10" s="5" t="n">
        <v>2</v>
      </c>
      <c r="W10" s="5" t="n">
        <v>2</v>
      </c>
      <c r="X10" s="5" t="n">
        <v>3</v>
      </c>
      <c r="Y10" s="5" t="n">
        <v>3</v>
      </c>
      <c r="Z10" s="14" t="n">
        <v>0</v>
      </c>
      <c r="AA10" s="5" t="n">
        <v>0</v>
      </c>
      <c r="AB10" s="5" t="n">
        <v>7</v>
      </c>
      <c r="AC10" s="15" t="n">
        <v>14</v>
      </c>
    </row>
    <row r="11" customFormat="false" ht="15" hidden="false" customHeight="false" outlineLevel="0" collapsed="false">
      <c r="A11" s="5" t="n">
        <v>7</v>
      </c>
      <c r="B11" s="6" t="s">
        <v>26</v>
      </c>
      <c r="C11" s="5" t="s">
        <v>92</v>
      </c>
      <c r="D11" s="5" t="n">
        <f aca="false">SUM(G11:Z11)</f>
        <v>25</v>
      </c>
      <c r="E11" s="5" t="n">
        <v>24</v>
      </c>
      <c r="F11" s="5" t="n">
        <v>24</v>
      </c>
      <c r="G11" s="5" t="n">
        <v>3</v>
      </c>
      <c r="H11" s="5" t="n">
        <v>2</v>
      </c>
      <c r="I11" s="5" t="n">
        <v>2</v>
      </c>
      <c r="J11" s="5" t="n">
        <v>2</v>
      </c>
      <c r="K11" s="14" t="n">
        <v>0</v>
      </c>
      <c r="L11" s="5" t="n">
        <v>2</v>
      </c>
      <c r="M11" s="5" t="n">
        <v>0</v>
      </c>
      <c r="N11" s="5" t="n">
        <v>0</v>
      </c>
      <c r="O11" s="5" t="n">
        <v>2</v>
      </c>
      <c r="P11" s="14" t="n">
        <v>0</v>
      </c>
      <c r="Q11" s="5" t="n">
        <v>0</v>
      </c>
      <c r="R11" s="5" t="n">
        <v>3</v>
      </c>
      <c r="S11" s="5" t="n">
        <v>0</v>
      </c>
      <c r="T11" s="5" t="n">
        <v>3</v>
      </c>
      <c r="U11" s="14" t="n">
        <v>0</v>
      </c>
      <c r="V11" s="5" t="n">
        <v>2</v>
      </c>
      <c r="W11" s="5" t="n">
        <v>2</v>
      </c>
      <c r="X11" s="5" t="n">
        <v>2</v>
      </c>
      <c r="Y11" s="5" t="n">
        <v>0</v>
      </c>
      <c r="Z11" s="14" t="n">
        <v>0</v>
      </c>
      <c r="AA11" s="5" t="n">
        <v>0</v>
      </c>
      <c r="AB11" s="5" t="n">
        <v>1</v>
      </c>
      <c r="AC11" s="15" t="n">
        <v>11</v>
      </c>
    </row>
    <row r="12" customFormat="false" ht="15" hidden="false" customHeight="false" outlineLevel="0" collapsed="false">
      <c r="A12" s="5" t="n">
        <v>8</v>
      </c>
      <c r="B12" s="6" t="s">
        <v>28</v>
      </c>
      <c r="C12" s="5" t="s">
        <v>93</v>
      </c>
      <c r="D12" s="5" t="n">
        <f aca="false">SUM(G12:Z12)</f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14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14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14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14" t="n">
        <v>0</v>
      </c>
      <c r="AA12" s="5" t="n">
        <v>0</v>
      </c>
      <c r="AB12" s="5" t="n">
        <v>0</v>
      </c>
      <c r="AC12" s="15" t="n">
        <v>0</v>
      </c>
    </row>
    <row r="13" customFormat="false" ht="15" hidden="false" customHeight="false" outlineLevel="0" collapsed="false">
      <c r="A13" s="5" t="n">
        <v>9</v>
      </c>
      <c r="B13" s="6" t="s">
        <v>30</v>
      </c>
      <c r="C13" s="5" t="s">
        <v>92</v>
      </c>
      <c r="D13" s="5" t="n">
        <f aca="false">SUM(G13:Z13)</f>
        <v>29</v>
      </c>
      <c r="E13" s="5" t="n">
        <v>24</v>
      </c>
      <c r="F13" s="5" t="n">
        <v>24</v>
      </c>
      <c r="G13" s="5" t="n">
        <v>3</v>
      </c>
      <c r="H13" s="5" t="n">
        <v>2</v>
      </c>
      <c r="I13" s="5" t="n">
        <v>2</v>
      </c>
      <c r="J13" s="5" t="n">
        <v>2</v>
      </c>
      <c r="K13" s="14" t="n">
        <v>0</v>
      </c>
      <c r="L13" s="5" t="n">
        <v>2</v>
      </c>
      <c r="M13" s="5" t="n">
        <v>2</v>
      </c>
      <c r="N13" s="5" t="n">
        <v>3</v>
      </c>
      <c r="O13" s="5" t="n">
        <v>0</v>
      </c>
      <c r="P13" s="14" t="n">
        <v>0</v>
      </c>
      <c r="Q13" s="5" t="n">
        <v>2</v>
      </c>
      <c r="R13" s="5" t="n">
        <v>3</v>
      </c>
      <c r="S13" s="5" t="n">
        <v>3</v>
      </c>
      <c r="T13" s="5" t="n">
        <v>0</v>
      </c>
      <c r="U13" s="14" t="n">
        <v>0</v>
      </c>
      <c r="V13" s="5" t="n">
        <v>3</v>
      </c>
      <c r="W13" s="5" t="n">
        <v>0</v>
      </c>
      <c r="X13" s="5" t="n">
        <v>2</v>
      </c>
      <c r="Y13" s="5" t="n">
        <v>0</v>
      </c>
      <c r="Z13" s="14" t="n">
        <v>0</v>
      </c>
      <c r="AA13" s="5" t="n">
        <v>0</v>
      </c>
      <c r="AB13" s="5" t="n">
        <v>5</v>
      </c>
      <c r="AC13" s="15" t="n">
        <v>12</v>
      </c>
    </row>
    <row r="14" customFormat="false" ht="15" hidden="false" customHeight="false" outlineLevel="0" collapsed="false">
      <c r="A14" s="5" t="n">
        <v>10</v>
      </c>
      <c r="B14" s="6" t="s">
        <v>32</v>
      </c>
      <c r="C14" s="5" t="s">
        <v>93</v>
      </c>
      <c r="D14" s="5" t="n">
        <f aca="false">SUM(G14:Z14)</f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14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14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14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14" t="n">
        <v>0</v>
      </c>
      <c r="AA14" s="5" t="n">
        <v>0</v>
      </c>
      <c r="AB14" s="5" t="n">
        <v>0</v>
      </c>
      <c r="AC14" s="15" t="n">
        <v>0</v>
      </c>
    </row>
  </sheetData>
  <mergeCells count="3">
    <mergeCell ref="A1:Z1"/>
    <mergeCell ref="A2:Z2"/>
    <mergeCell ref="A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9" min="16" style="0" width="10"/>
    <col collapsed="false" customWidth="true" hidden="false" outlineLevel="0" max="20" min="20" style="0" width="14"/>
  </cols>
  <sheetData>
    <row r="1" customFormat="false" ht="15" hidden="false" customHeight="fals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3" t="s">
        <v>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49.5" hidden="false" customHeight="true" outlineLevel="0" collapsed="false">
      <c r="A3" s="16" t="s">
        <v>96</v>
      </c>
      <c r="B3" s="16" t="s">
        <v>97</v>
      </c>
      <c r="C3" s="16" t="s">
        <v>98</v>
      </c>
      <c r="D3" s="16" t="s">
        <v>99</v>
      </c>
      <c r="E3" s="16" t="s">
        <v>100</v>
      </c>
      <c r="F3" s="16" t="s">
        <v>101</v>
      </c>
      <c r="G3" s="16" t="s">
        <v>102</v>
      </c>
      <c r="H3" s="16" t="s">
        <v>103</v>
      </c>
      <c r="I3" s="16" t="s">
        <v>104</v>
      </c>
      <c r="J3" s="16" t="s">
        <v>105</v>
      </c>
      <c r="K3" s="16" t="s">
        <v>106</v>
      </c>
      <c r="L3" s="16" t="s">
        <v>107</v>
      </c>
      <c r="M3" s="16" t="s">
        <v>108</v>
      </c>
      <c r="N3" s="16" t="s">
        <v>109</v>
      </c>
      <c r="O3" s="16" t="s">
        <v>110</v>
      </c>
      <c r="P3" s="16" t="s">
        <v>111</v>
      </c>
      <c r="Q3" s="16" t="s">
        <v>112</v>
      </c>
      <c r="R3" s="16" t="s">
        <v>113</v>
      </c>
      <c r="S3" s="16" t="s">
        <v>114</v>
      </c>
      <c r="T3" s="16" t="s">
        <v>115</v>
      </c>
    </row>
    <row r="4" customFormat="false" ht="30" hidden="false" customHeight="true" outlineLevel="0" collapsed="false">
      <c r="A4" s="5" t="n">
        <v>1</v>
      </c>
      <c r="B4" s="17" t="s">
        <v>116</v>
      </c>
      <c r="C4" s="5" t="s">
        <v>117</v>
      </c>
      <c r="D4" s="5" t="s">
        <v>118</v>
      </c>
      <c r="E4" s="5" t="n">
        <v>3</v>
      </c>
      <c r="F4" s="7" t="n">
        <v>4200000</v>
      </c>
      <c r="G4" s="7" t="n">
        <v>420000</v>
      </c>
      <c r="H4" s="7" t="n">
        <v>500000</v>
      </c>
      <c r="I4" s="7" t="n">
        <v>1000000</v>
      </c>
      <c r="J4" s="7" t="n">
        <v>1050000</v>
      </c>
      <c r="K4" s="7" t="n">
        <v>0</v>
      </c>
      <c r="L4" s="7" t="n">
        <v>0</v>
      </c>
      <c r="M4" s="7" t="n">
        <v>800000</v>
      </c>
      <c r="N4" s="7" t="n">
        <v>0</v>
      </c>
      <c r="O4" s="12" t="n">
        <f aca="false">SUM(F4:N4)</f>
        <v>7970000</v>
      </c>
      <c r="P4" s="7" t="n">
        <v>0</v>
      </c>
      <c r="Q4" s="7" t="n">
        <v>84000</v>
      </c>
      <c r="R4" s="7" t="n">
        <v>150000</v>
      </c>
      <c r="S4" s="7" t="n">
        <v>100000</v>
      </c>
      <c r="T4" s="9" t="n">
        <f aca="false">SUM(P4:S4)</f>
        <v>334000</v>
      </c>
    </row>
    <row r="5" customFormat="false" ht="30" hidden="false" customHeight="true" outlineLevel="0" collapsed="false">
      <c r="A5" s="5" t="n">
        <v>2</v>
      </c>
      <c r="B5" s="17" t="s">
        <v>119</v>
      </c>
      <c r="C5" s="5" t="s">
        <v>117</v>
      </c>
      <c r="D5" s="5" t="s">
        <v>120</v>
      </c>
      <c r="E5" s="5" t="n">
        <v>2</v>
      </c>
      <c r="F5" s="7" t="n">
        <v>3800000</v>
      </c>
      <c r="G5" s="7" t="n">
        <v>380000</v>
      </c>
      <c r="H5" s="7" t="n">
        <v>400000</v>
      </c>
      <c r="I5" s="7" t="n">
        <v>750000</v>
      </c>
      <c r="J5" s="7" t="n">
        <v>950000</v>
      </c>
      <c r="K5" s="7" t="n">
        <v>0</v>
      </c>
      <c r="L5" s="7" t="n">
        <v>0</v>
      </c>
      <c r="M5" s="7" t="n">
        <v>700000</v>
      </c>
      <c r="N5" s="7" t="n">
        <v>0</v>
      </c>
      <c r="O5" s="12" t="n">
        <f aca="false">SUM(F5:N5)</f>
        <v>6980000</v>
      </c>
      <c r="P5" s="7" t="n">
        <v>0</v>
      </c>
      <c r="Q5" s="7" t="n">
        <v>76000</v>
      </c>
      <c r="R5" s="7" t="n">
        <v>150000</v>
      </c>
      <c r="S5" s="7" t="n">
        <v>100000</v>
      </c>
      <c r="T5" s="9" t="n">
        <f aca="false">SUM(P5:S5)</f>
        <v>326000</v>
      </c>
    </row>
    <row r="6" customFormat="false" ht="30" hidden="false" customHeight="true" outlineLevel="0" collapsed="false">
      <c r="A6" s="5" t="n">
        <v>3</v>
      </c>
      <c r="B6" s="17" t="s">
        <v>121</v>
      </c>
      <c r="C6" s="5" t="s">
        <v>117</v>
      </c>
      <c r="D6" s="5" t="s">
        <v>122</v>
      </c>
      <c r="E6" s="5" t="n">
        <v>2</v>
      </c>
      <c r="F6" s="7" t="n">
        <v>3400000</v>
      </c>
      <c r="G6" s="7" t="n">
        <v>340000</v>
      </c>
      <c r="H6" s="7" t="n">
        <v>350000</v>
      </c>
      <c r="I6" s="7" t="n">
        <v>0</v>
      </c>
      <c r="J6" s="7" t="n">
        <v>850000</v>
      </c>
      <c r="K6" s="7" t="n">
        <v>0</v>
      </c>
      <c r="L6" s="7" t="n">
        <v>0</v>
      </c>
      <c r="M6" s="7" t="n">
        <v>600000</v>
      </c>
      <c r="N6" s="7" t="n">
        <v>0</v>
      </c>
      <c r="O6" s="12" t="n">
        <f aca="false">SUM(F6:N6)</f>
        <v>5540000</v>
      </c>
      <c r="P6" s="7" t="n">
        <v>0</v>
      </c>
      <c r="Q6" s="7" t="n">
        <v>68000</v>
      </c>
      <c r="R6" s="7" t="n">
        <v>150000</v>
      </c>
      <c r="S6" s="7" t="n">
        <v>100000</v>
      </c>
      <c r="T6" s="9" t="n">
        <f aca="false">SUM(P6:S6)</f>
        <v>318000</v>
      </c>
    </row>
    <row r="7" customFormat="false" ht="30" hidden="false" customHeight="true" outlineLevel="0" collapsed="false">
      <c r="A7" s="5" t="n">
        <v>4</v>
      </c>
      <c r="B7" s="17" t="s">
        <v>123</v>
      </c>
      <c r="C7" s="5" t="s">
        <v>124</v>
      </c>
      <c r="D7" s="5" t="s">
        <v>122</v>
      </c>
      <c r="E7" s="5" t="n">
        <v>1</v>
      </c>
      <c r="F7" s="7" t="n">
        <v>3400000</v>
      </c>
      <c r="G7" s="7" t="n">
        <v>0</v>
      </c>
      <c r="H7" s="7" t="n">
        <v>350000</v>
      </c>
      <c r="I7" s="7" t="n">
        <v>0</v>
      </c>
      <c r="J7" s="7" t="n">
        <v>850000</v>
      </c>
      <c r="K7" s="7" t="n">
        <v>0</v>
      </c>
      <c r="L7" s="7" t="n">
        <v>0</v>
      </c>
      <c r="M7" s="7" t="n">
        <v>600000</v>
      </c>
      <c r="N7" s="7" t="n">
        <v>0</v>
      </c>
      <c r="O7" s="12" t="n">
        <f aca="false">SUM(F7:N7)</f>
        <v>5200000</v>
      </c>
      <c r="P7" s="7" t="n">
        <v>0</v>
      </c>
      <c r="Q7" s="7" t="n">
        <v>68000</v>
      </c>
      <c r="R7" s="7" t="n">
        <v>150000</v>
      </c>
      <c r="S7" s="7" t="n">
        <v>100000</v>
      </c>
      <c r="T7" s="9" t="n">
        <f aca="false">SUM(P7:S7)</f>
        <v>318000</v>
      </c>
    </row>
    <row r="8" customFormat="false" ht="30" hidden="false" customHeight="true" outlineLevel="0" collapsed="false">
      <c r="A8" s="5" t="n">
        <v>5</v>
      </c>
      <c r="B8" s="17" t="s">
        <v>125</v>
      </c>
      <c r="C8" s="5" t="s">
        <v>124</v>
      </c>
      <c r="D8" s="5" t="s">
        <v>126</v>
      </c>
      <c r="E8" s="5" t="n">
        <v>1</v>
      </c>
      <c r="F8" s="7" t="n">
        <v>3100000</v>
      </c>
      <c r="G8" s="7" t="n">
        <v>0</v>
      </c>
      <c r="H8" s="7" t="n">
        <v>300000</v>
      </c>
      <c r="I8" s="7" t="n">
        <v>0</v>
      </c>
      <c r="J8" s="7" t="n">
        <v>775000</v>
      </c>
      <c r="K8" s="7" t="n">
        <v>0</v>
      </c>
      <c r="L8" s="7" t="n">
        <v>0</v>
      </c>
      <c r="M8" s="7" t="n">
        <v>550000</v>
      </c>
      <c r="N8" s="7" t="n">
        <v>0</v>
      </c>
      <c r="O8" s="12" t="n">
        <f aca="false">SUM(F8:N8)</f>
        <v>4725000</v>
      </c>
      <c r="P8" s="7" t="n">
        <v>0</v>
      </c>
      <c r="Q8" s="7" t="n">
        <v>62000</v>
      </c>
      <c r="R8" s="7" t="n">
        <v>150000</v>
      </c>
      <c r="S8" s="7" t="n">
        <v>100000</v>
      </c>
      <c r="T8" s="9" t="n">
        <f aca="false">SUM(P8:S8)</f>
        <v>312000</v>
      </c>
    </row>
    <row r="9" customFormat="false" ht="30" hidden="false" customHeight="true" outlineLevel="0" collapsed="false">
      <c r="A9" s="5" t="n">
        <v>6</v>
      </c>
      <c r="B9" s="17" t="s">
        <v>127</v>
      </c>
      <c r="C9" s="5" t="s">
        <v>117</v>
      </c>
      <c r="D9" s="5" t="s">
        <v>126</v>
      </c>
      <c r="E9" s="5" t="n">
        <v>2</v>
      </c>
      <c r="F9" s="7" t="n">
        <v>3100000</v>
      </c>
      <c r="G9" s="7" t="n">
        <v>310000</v>
      </c>
      <c r="H9" s="7" t="n">
        <v>300000</v>
      </c>
      <c r="I9" s="7" t="n">
        <v>0</v>
      </c>
      <c r="J9" s="7" t="n">
        <v>775000</v>
      </c>
      <c r="K9" s="7" t="n">
        <v>0</v>
      </c>
      <c r="L9" s="7" t="n">
        <v>0</v>
      </c>
      <c r="M9" s="7" t="n">
        <v>550000</v>
      </c>
      <c r="N9" s="7" t="n">
        <v>0</v>
      </c>
      <c r="O9" s="12" t="n">
        <f aca="false">SUM(F9:N9)</f>
        <v>5035000</v>
      </c>
      <c r="P9" s="7" t="n">
        <v>0</v>
      </c>
      <c r="Q9" s="7" t="n">
        <v>62000</v>
      </c>
      <c r="R9" s="7" t="n">
        <v>150000</v>
      </c>
      <c r="S9" s="7" t="n">
        <v>100000</v>
      </c>
      <c r="T9" s="9" t="n">
        <f aca="false">SUM(P9:S9)</f>
        <v>312000</v>
      </c>
    </row>
    <row r="10" customFormat="false" ht="30" hidden="false" customHeight="true" outlineLevel="0" collapsed="false">
      <c r="A10" s="5" t="n">
        <v>7</v>
      </c>
      <c r="B10" s="17" t="s">
        <v>128</v>
      </c>
      <c r="C10" s="5" t="s">
        <v>124</v>
      </c>
      <c r="D10" s="5" t="s">
        <v>129</v>
      </c>
      <c r="E10" s="5" t="n">
        <v>1</v>
      </c>
      <c r="F10" s="7" t="n">
        <v>2700000</v>
      </c>
      <c r="G10" s="7" t="n">
        <v>0</v>
      </c>
      <c r="H10" s="7" t="n">
        <v>250000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450000</v>
      </c>
      <c r="N10" s="7" t="n">
        <v>0</v>
      </c>
      <c r="O10" s="12" t="n">
        <f aca="false">SUM(F10:N10)</f>
        <v>3400000</v>
      </c>
      <c r="P10" s="7" t="n">
        <v>0</v>
      </c>
      <c r="Q10" s="7" t="n">
        <v>54000</v>
      </c>
      <c r="R10" s="7" t="n">
        <v>150000</v>
      </c>
      <c r="S10" s="7" t="n">
        <v>100000</v>
      </c>
      <c r="T10" s="9" t="n">
        <f aca="false">SUM(P10:S10)</f>
        <v>304000</v>
      </c>
    </row>
    <row r="11" customFormat="false" ht="30" hidden="false" customHeight="true" outlineLevel="0" collapsed="false">
      <c r="A11" s="5" t="n">
        <v>8</v>
      </c>
      <c r="B11" s="17" t="s">
        <v>130</v>
      </c>
      <c r="C11" s="5" t="s">
        <v>124</v>
      </c>
      <c r="D11" s="5" t="s">
        <v>131</v>
      </c>
      <c r="E11" s="5" t="n">
        <v>1</v>
      </c>
      <c r="F11" s="7" t="n">
        <v>2500000</v>
      </c>
      <c r="G11" s="7" t="n">
        <v>0</v>
      </c>
      <c r="H11" s="7" t="n">
        <v>200000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400000</v>
      </c>
      <c r="N11" s="7" t="n">
        <v>0</v>
      </c>
      <c r="O11" s="12" t="n">
        <f aca="false">SUM(F11:N11)</f>
        <v>3100000</v>
      </c>
      <c r="P11" s="7" t="n">
        <v>0</v>
      </c>
      <c r="Q11" s="7" t="n">
        <v>50000</v>
      </c>
      <c r="R11" s="7" t="n">
        <v>150000</v>
      </c>
      <c r="S11" s="7" t="n">
        <v>100000</v>
      </c>
      <c r="T11" s="9" t="n">
        <f aca="false">SUM(P11:S11)</f>
        <v>300000</v>
      </c>
    </row>
    <row r="12" customFormat="false" ht="30" hidden="false" customHeight="true" outlineLevel="0" collapsed="false">
      <c r="A12" s="5" t="n">
        <v>9</v>
      </c>
      <c r="B12" s="17" t="s">
        <v>132</v>
      </c>
      <c r="C12" s="5" t="s">
        <v>124</v>
      </c>
      <c r="D12" s="5" t="s">
        <v>131</v>
      </c>
      <c r="E12" s="5" t="n">
        <v>1</v>
      </c>
      <c r="F12" s="7" t="n">
        <v>2500000</v>
      </c>
      <c r="G12" s="7" t="n">
        <v>0</v>
      </c>
      <c r="H12" s="7" t="n">
        <v>200000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400000</v>
      </c>
      <c r="N12" s="7" t="n">
        <v>0</v>
      </c>
      <c r="O12" s="12" t="n">
        <f aca="false">SUM(F12:N12)</f>
        <v>3100000</v>
      </c>
      <c r="P12" s="7" t="n">
        <v>0</v>
      </c>
      <c r="Q12" s="7" t="n">
        <v>50000</v>
      </c>
      <c r="R12" s="7" t="n">
        <v>150000</v>
      </c>
      <c r="S12" s="7" t="n">
        <v>100000</v>
      </c>
      <c r="T12" s="9" t="n">
        <f aca="false">SUM(P12:S12)</f>
        <v>300000</v>
      </c>
    </row>
    <row r="13" customFormat="false" ht="30" hidden="false" customHeight="true" outlineLevel="0" collapsed="false">
      <c r="A13" s="5" t="n">
        <v>10</v>
      </c>
      <c r="B13" s="17" t="s">
        <v>133</v>
      </c>
      <c r="C13" s="5" t="s">
        <v>124</v>
      </c>
      <c r="D13" s="5" t="s">
        <v>134</v>
      </c>
      <c r="E13" s="5" t="n">
        <v>1</v>
      </c>
      <c r="F13" s="7" t="n">
        <v>2100000</v>
      </c>
      <c r="G13" s="7" t="n">
        <v>0</v>
      </c>
      <c r="H13" s="7" t="n">
        <v>150000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300000</v>
      </c>
      <c r="N13" s="7" t="n">
        <v>0</v>
      </c>
      <c r="O13" s="12" t="n">
        <f aca="false">SUM(F13:N13)</f>
        <v>2550000</v>
      </c>
      <c r="P13" s="7" t="n">
        <v>0</v>
      </c>
      <c r="Q13" s="7" t="n">
        <v>42000</v>
      </c>
      <c r="R13" s="7" t="n">
        <v>150000</v>
      </c>
      <c r="S13" s="7" t="n">
        <v>100000</v>
      </c>
      <c r="T13" s="9" t="n">
        <f aca="false">SUM(P13:S13)</f>
        <v>292000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11" min="5" style="0" width="16"/>
    <col collapsed="false" customWidth="true" hidden="false" outlineLevel="0" max="12" min="12" style="0" width="18"/>
  </cols>
  <sheetData>
    <row r="1" customFormat="false" ht="16.15" hidden="false" customHeight="false" outlineLevel="0" collapsed="false">
      <c r="A1" s="18" t="s">
        <v>135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5" hidden="false" customHeight="false" outlineLevel="0" collapsed="false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4" t="s">
        <v>3</v>
      </c>
      <c r="B3" s="4" t="s">
        <v>4</v>
      </c>
      <c r="C3" s="4" t="s">
        <v>39</v>
      </c>
      <c r="D3" s="4" t="s">
        <v>137</v>
      </c>
      <c r="E3" s="4" t="s">
        <v>138</v>
      </c>
      <c r="F3" s="4" t="s">
        <v>139</v>
      </c>
      <c r="G3" s="4" t="s">
        <v>140</v>
      </c>
      <c r="H3" s="4" t="s">
        <v>141</v>
      </c>
      <c r="I3" s="4" t="s">
        <v>10</v>
      </c>
      <c r="J3" s="4" t="s">
        <v>142</v>
      </c>
      <c r="K3" s="4" t="s">
        <v>143</v>
      </c>
      <c r="L3" s="4" t="s">
        <v>13</v>
      </c>
    </row>
    <row r="4" customFormat="false" ht="15" hidden="false" customHeight="false" outlineLevel="0" collapsed="false">
      <c r="A4" s="5" t="n">
        <v>1</v>
      </c>
      <c r="B4" s="6" t="s">
        <v>14</v>
      </c>
      <c r="C4" s="6" t="s">
        <v>15</v>
      </c>
      <c r="D4" s="5" t="s">
        <v>118</v>
      </c>
      <c r="E4" s="7" t="n">
        <v>4200000</v>
      </c>
      <c r="F4" s="7" t="n">
        <v>2500000</v>
      </c>
      <c r="G4" s="7" t="n">
        <v>500000</v>
      </c>
      <c r="H4" s="7" t="n">
        <v>780000</v>
      </c>
      <c r="I4" s="12" t="n">
        <f aca="false">SUM(E4:H4)</f>
        <v>7980000</v>
      </c>
      <c r="J4" s="7" t="n">
        <v>334000</v>
      </c>
      <c r="K4" s="19" t="n">
        <f aca="false">I4-J4</f>
        <v>7646000</v>
      </c>
      <c r="L4" s="5"/>
    </row>
    <row r="5" customFormat="false" ht="15" hidden="false" customHeight="false" outlineLevel="0" collapsed="false">
      <c r="A5" s="5" t="n">
        <v>2</v>
      </c>
      <c r="B5" s="6" t="s">
        <v>16</v>
      </c>
      <c r="C5" s="6" t="s">
        <v>55</v>
      </c>
      <c r="D5" s="5" t="s">
        <v>120</v>
      </c>
      <c r="E5" s="7" t="n">
        <v>3800000</v>
      </c>
      <c r="F5" s="7" t="n">
        <v>2000000</v>
      </c>
      <c r="G5" s="7" t="n">
        <v>400000</v>
      </c>
      <c r="H5" s="7" t="n">
        <v>720000</v>
      </c>
      <c r="I5" s="12" t="n">
        <f aca="false">SUM(E5:H5)</f>
        <v>6920000</v>
      </c>
      <c r="J5" s="7" t="n">
        <v>326000</v>
      </c>
      <c r="K5" s="19" t="n">
        <f aca="false">I5-J5</f>
        <v>6594000</v>
      </c>
      <c r="L5" s="5"/>
    </row>
    <row r="6" customFormat="false" ht="15" hidden="false" customHeight="false" outlineLevel="0" collapsed="false">
      <c r="A6" s="5" t="n">
        <v>3</v>
      </c>
      <c r="B6" s="6" t="s">
        <v>18</v>
      </c>
      <c r="C6" s="6" t="s">
        <v>19</v>
      </c>
      <c r="D6" s="5" t="s">
        <v>122</v>
      </c>
      <c r="E6" s="7" t="n">
        <v>3400000</v>
      </c>
      <c r="F6" s="7" t="n">
        <v>1500000</v>
      </c>
      <c r="G6" s="7" t="n">
        <v>350000</v>
      </c>
      <c r="H6" s="7" t="n">
        <v>660000</v>
      </c>
      <c r="I6" s="12" t="n">
        <f aca="false">SUM(E6:H6)</f>
        <v>5910000</v>
      </c>
      <c r="J6" s="7" t="n">
        <v>318000</v>
      </c>
      <c r="K6" s="19" t="n">
        <f aca="false">I6-J6</f>
        <v>5592000</v>
      </c>
      <c r="L6" s="5"/>
    </row>
    <row r="7" customFormat="false" ht="15" hidden="false" customHeight="false" outlineLevel="0" collapsed="false">
      <c r="A7" s="5" t="n">
        <v>4</v>
      </c>
      <c r="B7" s="6" t="s">
        <v>20</v>
      </c>
      <c r="C7" s="6" t="s">
        <v>21</v>
      </c>
      <c r="D7" s="5" t="s">
        <v>122</v>
      </c>
      <c r="E7" s="7" t="n">
        <v>3400000</v>
      </c>
      <c r="F7" s="7" t="n">
        <v>1500000</v>
      </c>
      <c r="G7" s="7" t="n">
        <v>350000</v>
      </c>
      <c r="H7" s="7" t="n">
        <v>660000</v>
      </c>
      <c r="I7" s="12" t="n">
        <f aca="false">SUM(E7:H7)</f>
        <v>5910000</v>
      </c>
      <c r="J7" s="7" t="n">
        <v>318000</v>
      </c>
      <c r="K7" s="19" t="n">
        <f aca="false">I7-J7</f>
        <v>5592000</v>
      </c>
      <c r="L7" s="5"/>
    </row>
    <row r="8" customFormat="false" ht="15" hidden="false" customHeight="false" outlineLevel="0" collapsed="false">
      <c r="A8" s="5" t="n">
        <v>5</v>
      </c>
      <c r="B8" s="6" t="s">
        <v>22</v>
      </c>
      <c r="C8" s="6" t="s">
        <v>23</v>
      </c>
      <c r="D8" s="5" t="s">
        <v>126</v>
      </c>
      <c r="E8" s="7" t="n">
        <v>3100000</v>
      </c>
      <c r="F8" s="7" t="n">
        <v>1200000</v>
      </c>
      <c r="G8" s="7" t="n">
        <v>300000</v>
      </c>
      <c r="H8" s="7" t="n">
        <v>600000</v>
      </c>
      <c r="I8" s="12" t="n">
        <f aca="false">SUM(E8:H8)</f>
        <v>5200000</v>
      </c>
      <c r="J8" s="7" t="n">
        <v>312000</v>
      </c>
      <c r="K8" s="19" t="n">
        <f aca="false">I8-J8</f>
        <v>4888000</v>
      </c>
      <c r="L8" s="5"/>
    </row>
    <row r="9" customFormat="false" ht="15" hidden="false" customHeight="false" outlineLevel="0" collapsed="false">
      <c r="A9" s="5" t="n">
        <v>6</v>
      </c>
      <c r="B9" s="6" t="s">
        <v>24</v>
      </c>
      <c r="C9" s="6" t="s">
        <v>25</v>
      </c>
      <c r="D9" s="5" t="s">
        <v>126</v>
      </c>
      <c r="E9" s="7" t="n">
        <v>3100000</v>
      </c>
      <c r="F9" s="7" t="n">
        <v>1400000</v>
      </c>
      <c r="G9" s="7" t="n">
        <v>300000</v>
      </c>
      <c r="H9" s="7" t="n">
        <v>600000</v>
      </c>
      <c r="I9" s="12" t="n">
        <f aca="false">SUM(E9:H9)</f>
        <v>5400000</v>
      </c>
      <c r="J9" s="7" t="n">
        <v>312000</v>
      </c>
      <c r="K9" s="19" t="n">
        <f aca="false">I9-J9</f>
        <v>5088000</v>
      </c>
      <c r="L9" s="5"/>
    </row>
    <row r="10" customFormat="false" ht="15" hidden="false" customHeight="false" outlineLevel="0" collapsed="false">
      <c r="A10" s="5" t="n">
        <v>7</v>
      </c>
      <c r="B10" s="6" t="s">
        <v>26</v>
      </c>
      <c r="C10" s="6" t="s">
        <v>27</v>
      </c>
      <c r="D10" s="5" t="s">
        <v>129</v>
      </c>
      <c r="E10" s="7" t="n">
        <v>2700000</v>
      </c>
      <c r="F10" s="7" t="n">
        <v>1200000</v>
      </c>
      <c r="G10" s="7" t="n">
        <v>250000</v>
      </c>
      <c r="H10" s="7" t="n">
        <v>540000</v>
      </c>
      <c r="I10" s="12" t="n">
        <f aca="false">SUM(E10:H10)</f>
        <v>4690000</v>
      </c>
      <c r="J10" s="7" t="n">
        <v>304000</v>
      </c>
      <c r="K10" s="19" t="n">
        <f aca="false">I10-J10</f>
        <v>4386000</v>
      </c>
      <c r="L10" s="5"/>
    </row>
    <row r="11" customFormat="false" ht="15" hidden="false" customHeight="false" outlineLevel="0" collapsed="false">
      <c r="A11" s="5" t="n">
        <v>8</v>
      </c>
      <c r="B11" s="6" t="s">
        <v>28</v>
      </c>
      <c r="C11" s="6" t="s">
        <v>29</v>
      </c>
      <c r="D11" s="5" t="s">
        <v>131</v>
      </c>
      <c r="E11" s="7" t="n">
        <v>2500000</v>
      </c>
      <c r="F11" s="7" t="n">
        <v>1000000</v>
      </c>
      <c r="G11" s="7" t="n">
        <v>200000</v>
      </c>
      <c r="H11" s="7" t="n">
        <v>540000</v>
      </c>
      <c r="I11" s="12" t="n">
        <f aca="false">SUM(E11:H11)</f>
        <v>4240000</v>
      </c>
      <c r="J11" s="7" t="n">
        <v>300000</v>
      </c>
      <c r="K11" s="19" t="n">
        <f aca="false">I11-J11</f>
        <v>3940000</v>
      </c>
      <c r="L11" s="5"/>
    </row>
    <row r="12" customFormat="false" ht="15" hidden="false" customHeight="false" outlineLevel="0" collapsed="false">
      <c r="A12" s="5" t="n">
        <v>9</v>
      </c>
      <c r="B12" s="6" t="s">
        <v>30</v>
      </c>
      <c r="C12" s="6" t="s">
        <v>31</v>
      </c>
      <c r="D12" s="5" t="s">
        <v>131</v>
      </c>
      <c r="E12" s="7" t="n">
        <v>2500000</v>
      </c>
      <c r="F12" s="7" t="n">
        <v>1000000</v>
      </c>
      <c r="G12" s="7" t="n">
        <v>200000</v>
      </c>
      <c r="H12" s="7" t="n">
        <v>480000</v>
      </c>
      <c r="I12" s="12" t="n">
        <f aca="false">SUM(E12:H12)</f>
        <v>4180000</v>
      </c>
      <c r="J12" s="7" t="n">
        <v>300000</v>
      </c>
      <c r="K12" s="19" t="n">
        <f aca="false">I12-J12</f>
        <v>3880000</v>
      </c>
      <c r="L12" s="5"/>
    </row>
    <row r="13" customFormat="false" ht="15" hidden="false" customHeight="false" outlineLevel="0" collapsed="false">
      <c r="A13" s="5" t="n">
        <v>10</v>
      </c>
      <c r="B13" s="6" t="s">
        <v>32</v>
      </c>
      <c r="C13" s="6" t="s">
        <v>33</v>
      </c>
      <c r="D13" s="5" t="s">
        <v>134</v>
      </c>
      <c r="E13" s="7" t="n">
        <v>2100000</v>
      </c>
      <c r="F13" s="7" t="n">
        <v>800000</v>
      </c>
      <c r="G13" s="7" t="n">
        <v>150000</v>
      </c>
      <c r="H13" s="7" t="n">
        <v>420000</v>
      </c>
      <c r="I13" s="12" t="n">
        <f aca="false">SUM(E13:H13)</f>
        <v>3470000</v>
      </c>
      <c r="J13" s="7" t="n">
        <v>292000</v>
      </c>
      <c r="K13" s="19" t="n">
        <f aca="false">I13-J13</f>
        <v>3178000</v>
      </c>
      <c r="L13" s="5"/>
    </row>
    <row r="14" customFormat="false" ht="15" hidden="false" customHeight="false" outlineLevel="0" collapsed="false">
      <c r="A14" s="20" t="s">
        <v>144</v>
      </c>
      <c r="B14" s="20"/>
      <c r="C14" s="20"/>
      <c r="D14" s="20"/>
      <c r="E14" s="9" t="n">
        <f aca="false">SUM(E4:E13)</f>
        <v>30800000</v>
      </c>
      <c r="F14" s="9" t="n">
        <f aca="false">SUM(F4:F13)</f>
        <v>14100000</v>
      </c>
      <c r="G14" s="9" t="n">
        <f aca="false">SUM(G4:G13)</f>
        <v>3000000</v>
      </c>
      <c r="H14" s="9" t="n">
        <f aca="false">SUM(H4:H13)</f>
        <v>6000000</v>
      </c>
      <c r="I14" s="9" t="n">
        <f aca="false">SUM(I4:I13)</f>
        <v>53900000</v>
      </c>
      <c r="J14" s="9" t="n">
        <f aca="false">SUM(J4:J13)</f>
        <v>3116000</v>
      </c>
      <c r="K14" s="9" t="n">
        <f aca="false">SUM(K4:K13)</f>
        <v>50784000</v>
      </c>
    </row>
    <row r="17" customFormat="false" ht="15" hidden="false" customHeight="true" outlineLevel="0" collapsed="false">
      <c r="A17" s="21" t="s">
        <v>145</v>
      </c>
      <c r="B17" s="21"/>
      <c r="C17" s="21"/>
      <c r="J17" s="21" t="s">
        <v>146</v>
      </c>
      <c r="K17" s="21"/>
      <c r="L17" s="21"/>
    </row>
    <row r="18" customFormat="false" ht="15" hidden="false" customHeight="false" outlineLevel="0" collapsed="false">
      <c r="A18" s="21"/>
      <c r="B18" s="21"/>
      <c r="C18" s="21"/>
      <c r="J18" s="21"/>
      <c r="K18" s="21"/>
      <c r="L18" s="21"/>
    </row>
    <row r="19" customFormat="false" ht="15" hidden="false" customHeight="false" outlineLevel="0" collapsed="false">
      <c r="A19" s="21"/>
      <c r="B19" s="21"/>
      <c r="C19" s="21"/>
      <c r="J19" s="21"/>
      <c r="K19" s="21"/>
      <c r="L19" s="21"/>
    </row>
    <row r="20" customFormat="false" ht="15" hidden="false" customHeight="false" outlineLevel="0" collapsed="false">
      <c r="A20" s="21"/>
      <c r="B20" s="21"/>
      <c r="C20" s="21"/>
      <c r="J20" s="21"/>
      <c r="K20" s="21"/>
      <c r="L20" s="21"/>
    </row>
    <row r="21" customFormat="false" ht="15" hidden="false" customHeight="false" outlineLevel="0" collapsed="false">
      <c r="A21" s="21"/>
      <c r="B21" s="21"/>
      <c r="C21" s="21"/>
      <c r="J21" s="21"/>
      <c r="K21" s="21"/>
      <c r="L21" s="21"/>
    </row>
  </sheetData>
  <mergeCells count="5">
    <mergeCell ref="A1:L1"/>
    <mergeCell ref="A2:L2"/>
    <mergeCell ref="A14:D14"/>
    <mergeCell ref="A17:C21"/>
    <mergeCell ref="J17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2026-06-23T11:09:46Z</dcterms:created>
  <dc:creator>openpyxl</dc:creator>
  <dc:description/>
  <dc:language>en-US</dc:language>
  <cp:lastModifiedBy/>
  <dcterms:modified xsi:type="dcterms:W3CDTF">2026-06-23T11:09:46Z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